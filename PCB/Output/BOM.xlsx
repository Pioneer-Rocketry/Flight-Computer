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<sst xmlns="http://schemas.openxmlformats.org/spreadsheetml/2006/main" count="205" uniqueCount="205">
  <si>
    <t xml:space="preserve">Number of Boards</t>
  </si>
  <si>
    <t>Reference</t>
  </si>
  <si>
    <t xml:space="preserve">Qty per board</t>
  </si>
  <si>
    <t xml:space="preserve">Total Qty</t>
  </si>
  <si>
    <t>Value</t>
  </si>
  <si>
    <t>URL</t>
  </si>
  <si>
    <t xml:space="preserve">Price For 1</t>
  </si>
  <si>
    <t xml:space="preserve">Price For 10</t>
  </si>
  <si>
    <t xml:space="preserve">Price for 100</t>
  </si>
  <si>
    <t xml:space="preserve">Price for 1k</t>
  </si>
  <si>
    <t>Price</t>
  </si>
  <si>
    <t xml:space="preserve">Qty to order</t>
  </si>
  <si>
    <t xml:space="preserve">Digikey Part number</t>
  </si>
  <si>
    <t>BZ401</t>
  </si>
  <si>
    <t>Buzzer</t>
  </si>
  <si>
    <t>https://www.digikey.com/en/products/detail/ole-wolff-electronics-inc/OWMB-323220SA-40-12/16735147</t>
  </si>
  <si>
    <t>3949-OWMB-323220SA-40-12CT-ND</t>
  </si>
  <si>
    <t>C101,C202,C203,C205,C206,C207,C209,C301,C302,C303,C304,C305,C401,C402,C501,C502,C503,C514,C515</t>
  </si>
  <si>
    <t>.1u</t>
  </si>
  <si>
    <t>https://www.digikey.com/en/products/detail/yageo/CC0603KRX7R7BB104/302822</t>
  </si>
  <si>
    <t>311-1088-1-ND</t>
  </si>
  <si>
    <t>C201,C204</t>
  </si>
  <si>
    <t>4.7u</t>
  </si>
  <si>
    <t>https://www.digikey.com/en/products/detail/samsung-electro-mechanics/CL10A475KP8NNNC/3886702</t>
  </si>
  <si>
    <t>1276-1044-1-ND</t>
  </si>
  <si>
    <t>C208</t>
  </si>
  <si>
    <t>1u</t>
  </si>
  <si>
    <t>https://www.digikey.com/en/products/detail/samsung-electro-mechanics/CL10B105KP8NNNC/3887604</t>
  </si>
  <si>
    <t>1276-1946-1-ND</t>
  </si>
  <si>
    <t xml:space="preserve">Total Cost</t>
  </si>
  <si>
    <t>C504,C512</t>
  </si>
  <si>
    <t>100p</t>
  </si>
  <si>
    <t>https://www.digikey.com/en/products/detail/samsung-electro-mechanics/CL10C101JB8NNNC/3886666</t>
  </si>
  <si>
    <t>1276-1008-1-ND</t>
  </si>
  <si>
    <t xml:space="preserve">Total Parts</t>
  </si>
  <si>
    <t>C505</t>
  </si>
  <si>
    <t>470n</t>
  </si>
  <si>
    <t>https://www.digikey.com/en/products/detail/samsung-electro-mechanics/CL10B473KB8NNNC/3886721</t>
  </si>
  <si>
    <t>1276-1063-1-ND</t>
  </si>
  <si>
    <t>C506</t>
  </si>
  <si>
    <t>22n</t>
  </si>
  <si>
    <t>https://www.digikey.com/en/products/detail/samsung-electro-mechanics/CL10B223KB8WPNC/5961018</t>
  </si>
  <si>
    <t>1276-6534-1-ND</t>
  </si>
  <si>
    <t xml:space="preserve">Cost per Board</t>
  </si>
  <si>
    <t>C507,C510</t>
  </si>
  <si>
    <t>3.3p</t>
  </si>
  <si>
    <t>https://www.digikey.com/en/products/detail/samsung-electro-mechanics/CL10C3R3CB81PNC/5961033</t>
  </si>
  <si>
    <t>1276-6549-1-ND</t>
  </si>
  <si>
    <t xml:space="preserve">Parts per Board</t>
  </si>
  <si>
    <t>C508</t>
  </si>
  <si>
    <t>4.7p</t>
  </si>
  <si>
    <t>https://www.digikey.com/en/products/detail/samsung-electro-mechanics/CL10C4R7BB8NNNC/3887450</t>
  </si>
  <si>
    <t>1276-1792-1-ND</t>
  </si>
  <si>
    <t>C509</t>
  </si>
  <si>
    <t>1p</t>
  </si>
  <si>
    <t>https://www.digikey.com/en/products/detail/kemet/C0603C109D4HACTU/7945850</t>
  </si>
  <si>
    <t>399-C0603C109D4HACTUCT-ND</t>
  </si>
  <si>
    <t xml:space="preserve">Require Parts</t>
  </si>
  <si>
    <t>C511</t>
  </si>
  <si>
    <t>18p</t>
  </si>
  <si>
    <t>https://www.digikey.com/en/products/detail/samsung-electro-mechanics/CL10C180JB8NNNC/3886747</t>
  </si>
  <si>
    <t>1276-1089-1-ND</t>
  </si>
  <si>
    <t xml:space="preserve">Extra Parts</t>
  </si>
  <si>
    <t>C513</t>
  </si>
  <si>
    <t>15p</t>
  </si>
  <si>
    <t>https://www.digikey.com/en/products/detail/samsung-electro-mechanics/CL10C150JC81PNC/11487811</t>
  </si>
  <si>
    <t>1276-CL10C150JC81PNCCT-ND</t>
  </si>
  <si>
    <t>C516</t>
  </si>
  <si>
    <t>33p</t>
  </si>
  <si>
    <t>https://www.digikey.com/en/products/detail/samsung-electro-mechanics/CL10C330JB8NNNC/3886728</t>
  </si>
  <si>
    <t>1276-1070-1-ND</t>
  </si>
  <si>
    <t>C517,C518</t>
  </si>
  <si>
    <t>TBD</t>
  </si>
  <si>
    <t>D101,D403</t>
  </si>
  <si>
    <t>LED</t>
  </si>
  <si>
    <t>https://www.digikey.com/en/products/detail/harvatek-corporation/B1931UD-05D000314U1930/15861266</t>
  </si>
  <si>
    <t>3147-B1931UD--05D000314U1930CT-ND</t>
  </si>
  <si>
    <t>D401,D405</t>
  </si>
  <si>
    <t>D</t>
  </si>
  <si>
    <t>https://www.digikey.com/en/products/detail/diodes-incorporated/BAT750TA/1767179</t>
  </si>
  <si>
    <t>BAT750CT-ND</t>
  </si>
  <si>
    <t>D402,D404</t>
  </si>
  <si>
    <t>WS2812B-2020</t>
  </si>
  <si>
    <t>https://www.digikey.com/en/products/detail/feztek/FZ2812-0807/28312656</t>
  </si>
  <si>
    <t>4544-FZ2812-0807CT-ND</t>
  </si>
  <si>
    <t>J402</t>
  </si>
  <si>
    <t>USB_C_Receptacle_USB2.0_16P</t>
  </si>
  <si>
    <t>https://www.digikey.com/en/products/detail/gct/USB4105-GF-A/11198441</t>
  </si>
  <si>
    <t>2073-USB4105-GF-ACT-ND</t>
  </si>
  <si>
    <t>J404</t>
  </si>
  <si>
    <t>Screw_Terminal_01x06</t>
  </si>
  <si>
    <t>https://www.digikey.com/en/products/detail/on-shore-technology-inc/OSTVN06A150/1588866</t>
  </si>
  <si>
    <t>J405</t>
  </si>
  <si>
    <t>Screw_Terminal_01x04</t>
  </si>
  <si>
    <t>https://www.digikey.com/en/products/detail/on-shore-technology-inc/OSTVN04A150/1588864</t>
  </si>
  <si>
    <t>ED10565-ND</t>
  </si>
  <si>
    <t>J408</t>
  </si>
  <si>
    <t>Conn_01x04</t>
  </si>
  <si>
    <t>https://www.digikey.com/en/products/detail/jst-sales-america-inc/SM04B-SRSS-TB/926710?s=N4IgTCBcDaIMoFkAMAWAQgWjgJTnDAKmgBQAyAYgJTFwBylABCALoC%2BQA</t>
  </si>
  <si>
    <t>455-SM04B-SRSS-TBCT-ND</t>
  </si>
  <si>
    <t>J501</t>
  </si>
  <si>
    <t>Conn_Coaxial</t>
  </si>
  <si>
    <t>https://www.digikey.com/en/products/detail/rf-solutions/CON-SMA-EDGE-S/5845767</t>
  </si>
  <si>
    <t>CON-SMA-EDGE-S-ND</t>
  </si>
  <si>
    <t>L501</t>
  </si>
  <si>
    <t>15u</t>
  </si>
  <si>
    <t>https://www.digikey.com/en/products/detail/tdk/MLZ1608N150LT000/10444798</t>
  </si>
  <si>
    <t>445-MLZ1608N150LT000CT-ND</t>
  </si>
  <si>
    <t>L502</t>
  </si>
  <si>
    <t>68n</t>
  </si>
  <si>
    <t>https://www.digikey.com/en/products/detail/w%C3%BCrth-elektronik/7447860168/12726429</t>
  </si>
  <si>
    <t>732-7447860168CT-ND</t>
  </si>
  <si>
    <t>L503</t>
  </si>
  <si>
    <t>33n</t>
  </si>
  <si>
    <t>https://www.digikey.com/en/products/detail/kyocera-avx/LCCI0603J33NGTAR/13676266</t>
  </si>
  <si>
    <t>478-LCCI0603J33NGTARCT-ND</t>
  </si>
  <si>
    <t>L504</t>
  </si>
  <si>
    <t>3.9n</t>
  </si>
  <si>
    <t>https://www.digikey.com/en/products/detail/würth-elektronik/7447860039/12726367</t>
  </si>
  <si>
    <t>732-7447860039CT-ND</t>
  </si>
  <si>
    <t>L505</t>
  </si>
  <si>
    <t>15n</t>
  </si>
  <si>
    <t>https://www.digikey.com/en/products/detail/w%C3%BCrth-elektronik/7447860115/12726346</t>
  </si>
  <si>
    <t>732-7447860115CT-ND</t>
  </si>
  <si>
    <t>L506</t>
  </si>
  <si>
    <t>0R</t>
  </si>
  <si>
    <t>https://www.digikey.com/en/products/detail/yageo/AC0603FR-070RL/2827812</t>
  </si>
  <si>
    <t>311-0.0LDCT-ND</t>
  </si>
  <si>
    <t>Q101</t>
  </si>
  <si>
    <t>FDN306P</t>
  </si>
  <si>
    <t>https://www.digikey.com/en/products/detail/shenzhen-slkormicro-semicon-co-ltd/FDN306P/26601086</t>
  </si>
  <si>
    <t>5399-FDN306PCT-ND</t>
  </si>
  <si>
    <t>Q401,Q601,Q602,Q603</t>
  </si>
  <si>
    <t>SL2302S</t>
  </si>
  <si>
    <t>https://www.digikey.com/en/products/detail/shenzhen-slkormicro-semicon-co-ltd/SL2302S/26112886?s=N4IgTCBcDaIMoBkwGYAMY4gLoF8g</t>
  </si>
  <si>
    <t>5399-SL2302STR-ND</t>
  </si>
  <si>
    <t>R101,R102,R403,R614</t>
  </si>
  <si>
    <t>1k</t>
  </si>
  <si>
    <t>https://www.digikey.com/en/products/detail/stackpole-electronics-inc/RMCF0603FT1K00/1761077</t>
  </si>
  <si>
    <t>RMCF0603FT1K00CT-ND</t>
  </si>
  <si>
    <t>R201,R203,R205,R406,R602,R604,R606,R613</t>
  </si>
  <si>
    <t>10k</t>
  </si>
  <si>
    <t>https://www.digikey.com/en/products/detail/stackpole-electronics-inc/RMCF0603JT10K0/1758104</t>
  </si>
  <si>
    <t>RMCF0603JT10K0CT-ND</t>
  </si>
  <si>
    <t>R202,R204,R401,R402,R607,R609,R611</t>
  </si>
  <si>
    <t>5.1k</t>
  </si>
  <si>
    <t>https://www.digikey.com/en/products/detail/yageo/RC0603FR-075K1L/727268</t>
  </si>
  <si>
    <t>311-5.10KHRCT-ND</t>
  </si>
  <si>
    <t>R404,R405,R501,R601,R603,R605</t>
  </si>
  <si>
    <t>https://www.digikey.com/en/products/detail/yageo/RT0603BRD07500RL/17019950</t>
  </si>
  <si>
    <t>13-RT0603BRD07500RLCT-ND</t>
  </si>
  <si>
    <t>R608,R610,R612</t>
  </si>
  <si>
    <t>3k</t>
  </si>
  <si>
    <t>https://www.digikey.com/en/products/detail/panasonic-electronic-components/ERA-3AEB302V/1465865</t>
  </si>
  <si>
    <t>P3.0KDBCT-ND</t>
  </si>
  <si>
    <t>SW401,SW402</t>
  </si>
  <si>
    <t>SW_Push</t>
  </si>
  <si>
    <t>https://www.digikey.com/en/products/detail/alps-alpine/SKTAAAE010/19529109</t>
  </si>
  <si>
    <t>4809-SKTAAAE010CT-ND</t>
  </si>
  <si>
    <t>U101</t>
  </si>
  <si>
    <t>LM1117MP-3.3</t>
  </si>
  <si>
    <t>https://www.digikey.com/en/products/detail/texas-instruments/LM1117MP-3-3-NOPB/304882?s=N4IgTCBcDaIDIFkCMKDsCAKBaAzAOhxAF0BfIA</t>
  </si>
  <si>
    <t>LM1117MP-3.3/NOPBCT-ND</t>
  </si>
  <si>
    <t>U201</t>
  </si>
  <si>
    <t>STM32F446RETx</t>
  </si>
  <si>
    <t>https://www.digikey.com/en/products/detail/stmicroelectronics/STM32F446RET6/5175962</t>
  </si>
  <si>
    <t>497-15376-ND</t>
  </si>
  <si>
    <t>U202</t>
  </si>
  <si>
    <t>W25Q128JVS</t>
  </si>
  <si>
    <t>https://www.digikey.com/en/products/detail/winbond-electronics/W25Q128JVSIQ-TR/5803944</t>
  </si>
  <si>
    <t>256-W25Q128JVSIQTRCT-ND</t>
  </si>
  <si>
    <t>U301</t>
  </si>
  <si>
    <t>SAM-M8Q</t>
  </si>
  <si>
    <t>https://www.digikey.com/en/products/detail/u-blox/SAM-M8Q-0/7393574?s=N4IgTCBcDaIMoEECyBaJAOAiiAugXyA</t>
  </si>
  <si>
    <t>672-1054-1-ND</t>
  </si>
  <si>
    <t>U302</t>
  </si>
  <si>
    <t>LSM6DSV320</t>
  </si>
  <si>
    <t>https://www.digikey.com/en/products/detail/stmicroelectronics/LSM6DSV320XTR/26254547?s=N4IgTCBcDaIDIGUCyA2AIggagZjABhAF0BfIA</t>
  </si>
  <si>
    <t>497-LSM6DSV320XTRCT-ND</t>
  </si>
  <si>
    <t>U303</t>
  </si>
  <si>
    <t>MMC5633NJL</t>
  </si>
  <si>
    <t>https://www.digikey.com/en/products/detail/memsic-inc/MMC5633NJL/12171925</t>
  </si>
  <si>
    <t>1267-MMC5633NJLCT-ND</t>
  </si>
  <si>
    <t>U304</t>
  </si>
  <si>
    <t>MS5607-02BA</t>
  </si>
  <si>
    <t>https://www.digikey.com/en/products/detail/te-connectivity-measurement-specialties/MS560702BA03-50/4700931</t>
  </si>
  <si>
    <t>223-1198-1-ND</t>
  </si>
  <si>
    <t>U501</t>
  </si>
  <si>
    <t>SX1262IMLTRT</t>
  </si>
  <si>
    <t>https://www.digikey.com/en/products/detail/semtech-corporation/SX1262IMLTRT/8564369?s=N4IgTCBcDaIMoA0CMYBsYCSBZAMgFQCU8QBdAXyA</t>
  </si>
  <si>
    <t>SX1262IMLTRTCT-ND</t>
  </si>
  <si>
    <t>U502</t>
  </si>
  <si>
    <t>SKY13453-385LF</t>
  </si>
  <si>
    <t>https://www.digikey.com/en/products/detail/skyworks-solutions-inc/SKY13453-385LF/5214219</t>
  </si>
  <si>
    <t>863-1602-1-ND</t>
  </si>
  <si>
    <t>Y201</t>
  </si>
  <si>
    <t>Resonator</t>
  </si>
  <si>
    <t>https://www.digikey.com/en/products/detail/murata-electronics/CSTNE8M00G52Z000R0/9172388?s=N4IgTCBcDaIMIGUAqA5AogDgLIAYcHEBWMALTxwCUcQBdAXyA</t>
  </si>
  <si>
    <t>490-CSTNE8M00G52Z000R0CT-ND</t>
  </si>
  <si>
    <t>Y501</t>
  </si>
  <si>
    <t xml:space="preserve">32 MHz</t>
  </si>
  <si>
    <t>https://www.digikey.com/en/products/detail/ndk-nihon-dempa-kogyo-co-ltd/CS06654-32M/9172029</t>
  </si>
  <si>
    <t>644-CS06654-32MCT-ND</t>
  </si>
  <si>
    <t>PCB</t>
  </si>
  <si>
    <t>Oshpark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</si>
</sst>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7">
    <numFmt numFmtId="164" formatCode="_([$$-409]* #,##0.00_);_([$$-409]* \(#,##0.00\);_([$$-409]* &quot;-&quot;??_);_(@_)"/>
    <numFmt numFmtId="165" formatCode="0.00\u"/>
    <numFmt numFmtId="166" formatCode="0.0\u"/>
    <numFmt numFmtId="167" formatCode="00.0\p"/>
    <numFmt numFmtId="168" formatCode="000.0\p"/>
    <numFmt numFmtId="169" formatCode="00.0\n"/>
    <numFmt numFmtId="170" formatCode="00.0\p\F"/>
    <numFmt numFmtId="171" formatCode="0.0\p"/>
    <numFmt numFmtId="172" formatCode="000.0\n"/>
    <numFmt numFmtId="173" formatCode="0.00\p"/>
    <numFmt numFmtId="174" formatCode="000.0\m\A"/>
    <numFmt numFmtId="175" formatCode="0.00\n"/>
    <numFmt numFmtId="176" formatCode="00.0\u"/>
    <numFmt numFmtId="177" formatCode="0.0\k"/>
    <numFmt numFmtId="178" formatCode="00.0\k"/>
    <numFmt numFmtId="179" formatCode="0.00\k"/>
    <numFmt numFmtId="180" formatCode="00.0\M\H\z"/>
  </numFmts>
  <fonts count="3">
    <font>
      <sz val="11.000000"/>
      <color theme="1"/>
      <name val="Calibri"/>
      <scheme val="minor"/>
    </font>
    <font>
      <sz val="11.000000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0" fillId="2" borderId="0" numFmtId="44" applyNumberFormat="1" applyFont="0" applyFill="0" applyBorder="0"/>
    <xf fontId="0" fillId="2" borderId="0" numFmtId="9" applyNumberFormat="1" applyFont="0" applyFill="0" applyBorder="0"/>
  </cellStyleXfs>
  <cellXfs count="34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center"/>
    </xf>
    <xf fontId="1" fillId="0" borderId="0" numFmtId="0" xfId="0" applyFont="1">
      <protection hidden="0" locked="1"/>
    </xf>
    <xf fontId="0" fillId="0" borderId="0" numFmtId="0" xfId="0">
      <protection hidden="0" locked="1"/>
    </xf>
    <xf fontId="0" fillId="0" borderId="0" numFmtId="0" xfId="0" applyAlignment="1">
      <alignment horizontal="center"/>
    </xf>
    <xf fontId="0" fillId="0" borderId="0" numFmtId="0" xfId="0"/>
    <xf fontId="2" fillId="0" borderId="0" numFmtId="0" xfId="0" applyFont="1"/>
    <xf fontId="0" fillId="0" borderId="0" numFmtId="164" xfId="1" applyNumberFormat="1"/>
    <xf fontId="0" fillId="0" borderId="0" numFmtId="165" xfId="0" applyNumberFormat="1"/>
    <xf fontId="0" fillId="0" borderId="0" numFmtId="166" xfId="0" applyNumberFormat="1"/>
    <xf fontId="0" fillId="0" borderId="0" numFmtId="164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0" xfId="1"/>
    <xf fontId="0" fillId="0" borderId="0" numFmtId="9" xfId="2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  <xf fontId="0" fillId="0" borderId="0" numFmtId="174" xfId="0" applyNumberFormat="1"/>
    <xf fontId="0" fillId="0" borderId="0" numFmtId="1" xfId="0" applyNumberFormat="1"/>
    <xf fontId="0" fillId="0" borderId="0" numFmtId="175" xfId="0" applyNumberFormat="1"/>
    <xf fontId="2" fillId="0" borderId="0" numFmtId="0" xfId="0" applyFont="1">
      <protection hidden="0" locked="1"/>
    </xf>
    <xf fontId="0" fillId="0" borderId="0" numFmtId="176" xfId="0" applyNumberFormat="1"/>
    <xf fontId="0" fillId="0" borderId="0" numFmtId="177" xfId="0" applyNumberFormat="1"/>
    <xf fontId="0" fillId="0" borderId="0" numFmtId="178" xfId="0" applyNumberFormat="1"/>
    <xf fontId="1" fillId="0" borderId="0" numFmtId="0" xfId="0" applyFont="1" applyAlignment="1">
      <alignment horizontal="left"/>
      <protection hidden="0" locked="1"/>
    </xf>
    <xf fontId="0" fillId="0" borderId="0" numFmtId="179" xfId="0" applyNumberFormat="1"/>
    <xf fontId="0" fillId="0" borderId="0" numFmtId="180" xfId="0" applyNumberFormat="1"/>
    <xf fontId="0" fillId="0" borderId="0" numFmtId="0" xfId="0" applyAlignment="1">
      <alignment horizontal="left"/>
      <protection hidden="0" locked="1"/>
    </xf>
    <xf fontId="0" fillId="0" borderId="0" numFmtId="0" xfId="0">
      <protection hidden="0" locked="1"/>
    </xf>
    <xf fontId="0" fillId="0" borderId="0" numFmtId="180" xfId="0" applyNumberFormat="1" applyAlignment="1">
      <alignment horizontal="left"/>
    </xf>
  </cellXfs>
  <cellStyles count="3">
    <cellStyle name="Normal" xfId="0" builtinId="0"/>
    <cellStyle name="Currency" xfId="1" builtin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digikey.com/en/products/detail/ole-wolff-electronics-inc/OWMB-323220SA-40-12/16735147" TargetMode="External"/><Relationship  Id="rId10" Type="http://schemas.openxmlformats.org/officeDocument/2006/relationships/hyperlink" Target="https://www.digikey.com/en/products/detail/kemet/C0603C109D4HACTU/7945850" TargetMode="External"/><Relationship  Id="rId11" Type="http://schemas.openxmlformats.org/officeDocument/2006/relationships/hyperlink" Target="https://www.digikey.com/en/products/detail/samsung-electro-mechanics/CL10C180JB8NNNC/3886747" TargetMode="External"/><Relationship  Id="rId12" Type="http://schemas.openxmlformats.org/officeDocument/2006/relationships/hyperlink" Target="https://www.digikey.com/en/products/detail/samsung-electro-mechanics/CL10C150JC81PNC/11487811" TargetMode="External"/><Relationship  Id="rId13" Type="http://schemas.openxmlformats.org/officeDocument/2006/relationships/hyperlink" Target="https://www.digikey.com/en/products/detail/samsung-electro-mechanics/CL10C330JB8NNNC/3886728" TargetMode="External"/><Relationship  Id="rId14" Type="http://schemas.openxmlformats.org/officeDocument/2006/relationships/hyperlink" Target="https://www.digikey.com/en/products/detail/harvatek-corporation/B1931UD-05D000314U1930/15861266" TargetMode="External"/><Relationship  Id="rId15" Type="http://schemas.openxmlformats.org/officeDocument/2006/relationships/hyperlink" Target="https://www.digikey.com/en/products/detail/diodes-incorporated/BAT750TA/1767179" TargetMode="External"/><Relationship  Id="rId16" Type="http://schemas.openxmlformats.org/officeDocument/2006/relationships/hyperlink" Target="https://www.digikey.com/en/products/detail/feztek/FZ2812-0807/28312656" TargetMode="External"/><Relationship  Id="rId17" Type="http://schemas.openxmlformats.org/officeDocument/2006/relationships/hyperlink" Target="https://www.digikey.com/en/products/detail/gct/USB4105-GF-A/11198441" TargetMode="External"/><Relationship  Id="rId18" Type="http://schemas.openxmlformats.org/officeDocument/2006/relationships/hyperlink" Target="https://www.digikey.com/en/products/detail/on-shore-technology-inc/OSTVN06A150/1588866" TargetMode="External"/><Relationship  Id="rId19" Type="http://schemas.openxmlformats.org/officeDocument/2006/relationships/hyperlink" Target="https://www.digikey.com/en/products/detail/on-shore-technology-inc/OSTVN04A150/1588864" TargetMode="External"/><Relationship  Id="rId2" Type="http://schemas.openxmlformats.org/officeDocument/2006/relationships/hyperlink" Target="https://www.digikey.com/en/products/detail/yageo/CC0603KRX7R7BB104/302822" TargetMode="External"/><Relationship  Id="rId20" Type="http://schemas.openxmlformats.org/officeDocument/2006/relationships/hyperlink" Target="https://www.digikey.com/en/products/detail/jst-sales-america-inc/SM04B-SRSS-TB/926710?s=N4IgTCBcDaIMoFkAMAWAQgWjgJTnDAKmgBQAyAYgJTFwBylABCALoC%2BQA" TargetMode="External"/><Relationship  Id="rId21" Type="http://schemas.openxmlformats.org/officeDocument/2006/relationships/hyperlink" Target="https://www.digikey.com/en/products/detail/rf-solutions/CON-SMA-EDGE-S/5845767" TargetMode="External"/><Relationship  Id="rId22" Type="http://schemas.openxmlformats.org/officeDocument/2006/relationships/hyperlink" Target="https://www.digikey.com/en/products/detail/tdk/MLZ1608N150LT000/10444798" TargetMode="External"/><Relationship  Id="rId23" Type="http://schemas.openxmlformats.org/officeDocument/2006/relationships/hyperlink" Target="https://www.digikey.com/en/products/detail/w%C3%BCrth-elektronik/7447860168/12726429" TargetMode="External"/><Relationship  Id="rId24" Type="http://schemas.openxmlformats.org/officeDocument/2006/relationships/hyperlink" Target="https://www.digikey.com/en/products/detail/kyocera-avx/LCCI0603J33NGTAR/13676266" TargetMode="External"/><Relationship  Id="rId25" Type="http://schemas.openxmlformats.org/officeDocument/2006/relationships/hyperlink" Target="https://www.digikey.com/en/products/detail/w&#252;rth-elektronik/7447860039/12726367" TargetMode="External"/><Relationship  Id="rId26" Type="http://schemas.openxmlformats.org/officeDocument/2006/relationships/hyperlink" Target="https://www.digikey.com/en/products/detail/w%C3%BCrth-elektronik/7447860115/12726346" TargetMode="External"/><Relationship  Id="rId27" Type="http://schemas.openxmlformats.org/officeDocument/2006/relationships/hyperlink" Target="https://www.digikey.com/en/products/detail/yageo/AC0603FR-070RL/2827812" TargetMode="External"/><Relationship  Id="rId28" Type="http://schemas.openxmlformats.org/officeDocument/2006/relationships/hyperlink" Target="https://www.digikey.com/en/products/detail/shenzhen-slkormicro-semicon-co-ltd/FDN306P/26601086" TargetMode="External"/><Relationship  Id="rId29" Type="http://schemas.openxmlformats.org/officeDocument/2006/relationships/hyperlink" Target="https://www.digikey.com/en/products/detail/shenzhen-slkormicro-semicon-co-ltd/SL2302S/26112886?s=N4IgTCBcDaIMoBkwGYAMY4gLoF8g" TargetMode="External"/><Relationship  Id="rId3" Type="http://schemas.openxmlformats.org/officeDocument/2006/relationships/hyperlink" Target="https://www.digikey.com/en/products/detail/samsung-electro-mechanics/CL10A475KP8NNNC/3886702" TargetMode="External"/><Relationship  Id="rId30" Type="http://schemas.openxmlformats.org/officeDocument/2006/relationships/hyperlink" Target="https://www.digikey.com/en/products/detail/stackpole-electronics-inc/RMCF0603FT1K00/1761077" TargetMode="External"/><Relationship  Id="rId31" Type="http://schemas.openxmlformats.org/officeDocument/2006/relationships/hyperlink" Target="https://www.digikey.com/en/products/detail/stackpole-electronics-inc/RMCF0603JT10K0/1758104" TargetMode="External"/><Relationship  Id="rId32" Type="http://schemas.openxmlformats.org/officeDocument/2006/relationships/hyperlink" Target="https://www.digikey.com/en/products/detail/yageo/RC0603FR-075K1L/727268" TargetMode="External"/><Relationship  Id="rId33" Type="http://schemas.openxmlformats.org/officeDocument/2006/relationships/hyperlink" Target="https://www.digikey.com/en/products/detail/yageo/RT0603BRD07500RL/17019950" TargetMode="External"/><Relationship  Id="rId34" Type="http://schemas.openxmlformats.org/officeDocument/2006/relationships/hyperlink" Target="https://www.digikey.com/en/products/detail/panasonic-electronic-components/ERA-3AEB302V/1465865" TargetMode="External"/><Relationship  Id="rId35" Type="http://schemas.openxmlformats.org/officeDocument/2006/relationships/hyperlink" Target="https://www.digikey.com/en/products/detail/alps-alpine/SKTAAAE010/19529109" TargetMode="External"/><Relationship  Id="rId36" Type="http://schemas.openxmlformats.org/officeDocument/2006/relationships/hyperlink" Target="https://www.digikey.com/en/products/detail/texas-instruments/LM1117MP-3-3-NOPB/304882?s=N4IgTCBcDaIDIFkCMKDsCAKBaAzAOhxAF0BfIA" TargetMode="External"/><Relationship  Id="rId37" Type="http://schemas.openxmlformats.org/officeDocument/2006/relationships/hyperlink" Target="https://www.digikey.com/en/products/detail/stmicroelectronics/STM32F446RET6/5175962" TargetMode="External"/><Relationship  Id="rId38" Type="http://schemas.openxmlformats.org/officeDocument/2006/relationships/hyperlink" Target="https://www.digikey.com/en/products/detail/winbond-electronics/W25Q128JVSIQ-TR/5803944" TargetMode="External"/><Relationship  Id="rId39" Type="http://schemas.openxmlformats.org/officeDocument/2006/relationships/hyperlink" Target="https://www.digikey.com/en/products/detail/u-blox/SAM-M8Q-0/7393574?s=N4IgTCBcDaIMoEECyBaJAOAiiAugXyA" TargetMode="External"/><Relationship  Id="rId4" Type="http://schemas.openxmlformats.org/officeDocument/2006/relationships/hyperlink" Target="https://www.digikey.com/en/products/detail/samsung-electro-mechanics/CL10B105KP8NNNC/3887604" TargetMode="External"/><Relationship  Id="rId40" Type="http://schemas.openxmlformats.org/officeDocument/2006/relationships/hyperlink" Target="https://www.digikey.com/en/products/detail/stmicroelectronics/LSM6DSV320XTR/26254547?s=N4IgTCBcDaIDIGUCyA2AIggagZjABhAF0BfIA" TargetMode="External"/><Relationship  Id="rId41" Type="http://schemas.openxmlformats.org/officeDocument/2006/relationships/hyperlink" Target="https://www.digikey.com/en/products/detail/memsic-inc/MMC5633NJL/12171925" TargetMode="External"/><Relationship  Id="rId42" Type="http://schemas.openxmlformats.org/officeDocument/2006/relationships/hyperlink" Target="https://www.digikey.com/en/products/detail/te-connectivity-measurement-specialties/MS560702BA03-50/4700931" TargetMode="External"/><Relationship  Id="rId43" Type="http://schemas.openxmlformats.org/officeDocument/2006/relationships/hyperlink" Target="https://www.digikey.com/en/products/detail/semtech-corporation/SX1262IMLTRT/8564369?s=N4IgTCBcDaIMoA0CMYBsYCSBZAMgFQCU8QBdAXyA" TargetMode="External"/><Relationship  Id="rId44" Type="http://schemas.openxmlformats.org/officeDocument/2006/relationships/hyperlink" Target="https://www.digikey.com/en/products/detail/skyworks-solutions-inc/SKY13453-385LF/5214219" TargetMode="External"/><Relationship  Id="rId45" Type="http://schemas.openxmlformats.org/officeDocument/2006/relationships/hyperlink" Target="https://www.digikey.com/en/products/detail/murata-electronics/CSTNE8M00G52Z000R0/9172388?s=N4IgTCBcDaIMIGUAqA5AogDgLIAYcHEBWMALTxwCUcQBdAXyA" TargetMode="External"/><Relationship  Id="rId46" Type="http://schemas.openxmlformats.org/officeDocument/2006/relationships/hyperlink" Target="https://www.digikey.com/en/products/detail/ndk-nihon-dempa-kogyo-co-ltd/CS06654-32M/9172029" TargetMode="External"/><Relationship  Id="rId5" Type="http://schemas.openxmlformats.org/officeDocument/2006/relationships/hyperlink" Target="https://www.digikey.com/en/products/detail/samsung-electro-mechanics/CL10C101JB8NNNC/3886666" TargetMode="External"/><Relationship  Id="rId6" Type="http://schemas.openxmlformats.org/officeDocument/2006/relationships/hyperlink" Target="https://www.digikey.com/en/products/detail/samsung-electro-mechanics/CL10B473KB8NNNC/3886721" TargetMode="External"/><Relationship  Id="rId7" Type="http://schemas.openxmlformats.org/officeDocument/2006/relationships/hyperlink" Target="https://www.digikey.com/en/products/detail/samsung-electro-mechanics/CL10B223KB8WPNC/5961018" TargetMode="External"/><Relationship  Id="rId8" Type="http://schemas.openxmlformats.org/officeDocument/2006/relationships/hyperlink" Target="https://www.digikey.com/en/products/detail/samsung-electro-mechanics/CL10C3R3CB81PNC/5961033" TargetMode="External"/><Relationship  Id="rId9" Type="http://schemas.openxmlformats.org/officeDocument/2006/relationships/hyperlink" Target="https://www.digikey.com/en/products/detail/samsung-electro-mechanics/CL10C4R7BB8NNNC/38874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16.00390625"/>
    <col customWidth="1" min="2" max="2" width="12.7109375"/>
    <col customWidth="1" min="3" max="3" width="9.57421875"/>
    <col customWidth="1" min="4" max="4" style="1" width="29.8515625"/>
    <col customWidth="1" min="6" max="6" width="11.421875"/>
    <col customWidth="1" min="7" max="7" width="12.140625"/>
    <col customWidth="1" min="8" max="8" width="12.28125"/>
    <col customWidth="1" min="9" max="9" width="11.7109375"/>
    <col customWidth="1" min="11" max="11" width="11.28125"/>
    <col customWidth="1" min="12" max="12" width="34.57421875"/>
  </cols>
  <sheetData>
    <row r="1">
      <c r="A1" s="2" t="s">
        <v>0</v>
      </c>
      <c r="B1" s="2"/>
      <c r="C1" s="3">
        <v>1</v>
      </c>
      <c r="E1" s="3"/>
      <c r="F1" s="3"/>
      <c r="G1" s="3"/>
      <c r="H1" s="3"/>
      <c r="I1" s="3"/>
      <c r="J1" s="3"/>
      <c r="K1" s="3"/>
      <c r="L1" s="3"/>
      <c r="M1" s="4"/>
      <c r="N1" s="4"/>
      <c r="AA1" s="5"/>
      <c r="AB1" s="5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>
      <c r="A2" s="3" t="s">
        <v>1</v>
      </c>
      <c r="B2" s="3" t="s">
        <v>2</v>
      </c>
      <c r="C2" s="3" t="s">
        <v>3</v>
      </c>
      <c r="D2" s="1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6" t="s">
        <v>9</v>
      </c>
      <c r="J2" s="3" t="s">
        <v>10</v>
      </c>
      <c r="K2" s="3" t="s">
        <v>11</v>
      </c>
      <c r="L2" s="3" t="s">
        <v>12</v>
      </c>
      <c r="M2" s="4"/>
      <c r="N2" s="4"/>
      <c r="AA2" s="4"/>
      <c r="AB2" s="4"/>
      <c r="AC2" s="4"/>
      <c r="AD2" s="4"/>
      <c r="AE2" s="4"/>
      <c r="AF2" s="4"/>
      <c r="AG2" s="4"/>
      <c r="AH2" s="4"/>
      <c r="AJ2" s="4"/>
      <c r="AK2" s="4"/>
      <c r="AL2" s="4"/>
      <c r="AM2" s="4"/>
      <c r="AN2" s="4"/>
    </row>
    <row r="3">
      <c r="A3" s="3" t="s">
        <v>13</v>
      </c>
      <c r="B3" s="3">
        <v>1</v>
      </c>
      <c r="C3" s="3">
        <f>B3*$C$1</f>
        <v>1</v>
      </c>
      <c r="D3" s="3" t="s">
        <v>14</v>
      </c>
      <c r="E3" s="7" t="s">
        <v>15</v>
      </c>
      <c r="F3" s="4">
        <v>2.8900000000000001</v>
      </c>
      <c r="G3" s="4">
        <v>2.2719999999999998</v>
      </c>
      <c r="H3" s="4">
        <v>1.8003</v>
      </c>
      <c r="I3" s="4"/>
      <c r="J3" s="8">
        <f>IF(MIN(IF(I3=0,1000000,I3*ROUNDUP(C3,-3)),IF(H3=0,1000000,H3*ROUNDUP(C3,-2)),IF(G3=0,1000000,G3*ROUNDUP(C3,-1)),IF(F3=0,1000000,F3*C3))=1000000,0,MIN(IF(I3=0,1000000,I3*ROUNDUP(C3,-3)),IF(H3=0,1000000,H3*ROUNDUP(C3,-2)),IF(G3=0,1000000,G3*ROUNDUP(C3,-1)),IF(F3=0,1000000,F3*C3)))</f>
        <v>2.8900000000000001</v>
      </c>
      <c r="K3" s="4">
        <f>IF(J3=IF(F3=0,1000000,F3*C3),C3,IF(J3=IF(G3=0,1000000,G3*ROUNDUP(C3,-1)),ROUNDUP(C3,-1),IF(J3=IF(H3=0,1000000,H3*ROUNDUP(C3,-2)),ROUNDUP(C3,-2),IF(J3=IF(I3=0,1000000,I3*ROUNDUP(C3,-3)),ROUNDUP(C3,-3),0))))</f>
        <v>1</v>
      </c>
      <c r="L3" s="4" t="s">
        <v>16</v>
      </c>
      <c r="M3" s="4"/>
      <c r="N3" s="4"/>
      <c r="O3" s="4"/>
      <c r="P3" s="4"/>
      <c r="S3" s="8"/>
      <c r="T3" s="4"/>
      <c r="AA3" s="4"/>
      <c r="AB3" s="4"/>
      <c r="AC3" s="4"/>
      <c r="AD3" s="9"/>
      <c r="AE3" s="7"/>
      <c r="AF3" s="4"/>
      <c r="AG3" s="4"/>
      <c r="AH3" s="4"/>
      <c r="AI3" s="4"/>
      <c r="AJ3" s="8"/>
      <c r="AK3" s="4"/>
      <c r="AL3" s="4"/>
      <c r="AM3" s="4"/>
      <c r="AN3" s="4"/>
    </row>
    <row r="4">
      <c r="A4" s="3" t="s">
        <v>17</v>
      </c>
      <c r="B4" s="3">
        <v>19</v>
      </c>
      <c r="C4" s="3">
        <f>B4*$C$1</f>
        <v>19</v>
      </c>
      <c r="D4" s="3" t="s">
        <v>18</v>
      </c>
      <c r="E4" s="7" t="s">
        <v>19</v>
      </c>
      <c r="F4" s="4">
        <v>0.080000000000000002</v>
      </c>
      <c r="G4" s="4">
        <v>0.014</v>
      </c>
      <c r="H4" s="4">
        <v>0.0095999999999999992</v>
      </c>
      <c r="I4" s="4">
        <v>0.0064000000000000003</v>
      </c>
      <c r="J4" s="8">
        <f>IF(MIN(IF(I4=0,1000000,I4*ROUNDUP(C4,-3)),IF(H4=0,1000000,H4*ROUNDUP(C4,-2)),IF(G4=0,1000000,G4*ROUNDUP(C4,-1)),IF(F4=0,1000000,F4*C4))=1000000,0,MIN(IF(I4=0,1000000,I4*ROUNDUP(C4,-3)),IF(H4=0,1000000,H4*ROUNDUP(C4,-2)),IF(G4=0,1000000,G4*ROUNDUP(C4,-1)),IF(F4=0,1000000,F4*C4)))</f>
        <v>0.28000000000000003</v>
      </c>
      <c r="K4" s="4">
        <v>0</v>
      </c>
      <c r="L4" s="4" t="s">
        <v>20</v>
      </c>
      <c r="M4" s="4"/>
      <c r="N4" s="4"/>
      <c r="P4" s="4"/>
      <c r="S4" s="8"/>
      <c r="T4" s="4"/>
      <c r="AA4" s="4"/>
      <c r="AB4" s="4"/>
      <c r="AC4" s="4"/>
      <c r="AD4" s="10"/>
      <c r="AE4" s="7"/>
      <c r="AF4" s="4"/>
      <c r="AG4" s="4"/>
      <c r="AH4" s="4"/>
      <c r="AI4" s="4"/>
      <c r="AJ4" s="8"/>
      <c r="AK4" s="4"/>
      <c r="AL4" s="4"/>
      <c r="AM4" s="4"/>
      <c r="AN4" s="4"/>
    </row>
    <row r="5">
      <c r="A5" s="3" t="s">
        <v>21</v>
      </c>
      <c r="B5" s="3">
        <v>2</v>
      </c>
      <c r="C5" s="3">
        <f>B5*$C$1</f>
        <v>2</v>
      </c>
      <c r="D5" s="3" t="s">
        <v>22</v>
      </c>
      <c r="E5" s="7" t="s">
        <v>23</v>
      </c>
      <c r="F5" s="4">
        <v>0.080000000000000002</v>
      </c>
      <c r="G5" s="4">
        <v>0.001</v>
      </c>
      <c r="H5" s="4">
        <v>0.0080000000000000002</v>
      </c>
      <c r="I5" s="4">
        <v>0.0064000000000000003</v>
      </c>
      <c r="J5" s="8">
        <f>IF(MIN(IF(I5=0,1000000,I5*ROUNDUP(C5,-3)),IF(H5=0,1000000,H5*ROUNDUP(C5,-2)),IF(G5=0,1000000,G5*ROUNDUP(C5,-1)),IF(F5=0,1000000,F5*C5))=1000000,0,MIN(IF(I5=0,1000000,I5*ROUNDUP(C5,-3)),IF(H5=0,1000000,H5*ROUNDUP(C5,-2)),IF(G5=0,1000000,G5*ROUNDUP(C5,-1)),IF(F5=0,1000000,F5*C5)))</f>
        <v>0.01</v>
      </c>
      <c r="K5" s="4">
        <f>IF(J5=IF(F5=0,1000000,F5*C5),C5,IF(J5=IF(G5=0,1000000,G5*ROUNDUP(C5,-1)),ROUNDUP(C5,-1),IF(J5=IF(H5=0,1000000,H5*ROUNDUP(C5,-2)),ROUNDUP(C5,-2),IF(J5=IF(I5=0,1000000,I5*ROUNDUP(C5,-3)),ROUNDUP(C5,-3),0))))</f>
        <v>10</v>
      </c>
      <c r="L5" s="4" t="s">
        <v>24</v>
      </c>
      <c r="M5" s="4"/>
      <c r="N5" s="4"/>
      <c r="P5" s="4"/>
      <c r="S5" s="8"/>
      <c r="T5" s="4"/>
      <c r="AA5" s="4"/>
      <c r="AB5" s="4"/>
      <c r="AC5" s="4"/>
      <c r="AD5" s="9"/>
      <c r="AE5" s="7"/>
      <c r="AF5" s="4"/>
      <c r="AG5" s="4"/>
      <c r="AH5" s="4"/>
      <c r="AI5" s="4"/>
      <c r="AJ5" s="8"/>
      <c r="AK5" s="4"/>
      <c r="AL5" s="4"/>
      <c r="AM5" s="4"/>
      <c r="AN5" s="4"/>
    </row>
    <row r="6">
      <c r="A6" s="3" t="s">
        <v>25</v>
      </c>
      <c r="B6" s="3">
        <v>1</v>
      </c>
      <c r="C6" s="3">
        <f>B6*$C$1</f>
        <v>1</v>
      </c>
      <c r="D6" s="3" t="s">
        <v>26</v>
      </c>
      <c r="E6" s="7" t="s">
        <v>27</v>
      </c>
      <c r="F6" s="4">
        <v>0.080000000000000002</v>
      </c>
      <c r="G6" s="4">
        <v>0.0050000000000000001</v>
      </c>
      <c r="H6" s="4"/>
      <c r="I6" s="4"/>
      <c r="J6" s="8">
        <f>IF(MIN(IF(I6=0,1000000,I6*ROUNDUP(C6,-3)),IF(H6=0,1000000,H6*ROUNDUP(C6,-2)),IF(G6=0,1000000,G6*ROUNDUP(C6,-1)),IF(F6=0,1000000,F6*C6))=1000000,0,MIN(IF(I6=0,1000000,I6*ROUNDUP(C6,-3)),IF(H6=0,1000000,H6*ROUNDUP(C6,-2)),IF(G6=0,1000000,G6*ROUNDUP(C6,-1)),IF(F6=0,1000000,F6*C6)))</f>
        <v>0.050000000000000003</v>
      </c>
      <c r="K6" s="4">
        <f>IF(J6=IF(F6=0,1000000,F6*C6),C6,IF(J6=IF(G6=0,1000000,G6*ROUNDUP(C6,-1)),ROUNDUP(C6,-1),IF(J6=IF(H6=0,1000000,H6*ROUNDUP(C6,-2)),ROUNDUP(C6,-2),IF(J6=IF(I6=0,1000000,I6*ROUNDUP(C6,-3)),ROUNDUP(C6,-3),0))))</f>
        <v>10</v>
      </c>
      <c r="L6" s="4" t="s">
        <v>28</v>
      </c>
      <c r="M6" s="4"/>
      <c r="N6" s="4"/>
      <c r="P6" s="4"/>
      <c r="Q6" s="5" t="s">
        <v>29</v>
      </c>
      <c r="R6" s="5"/>
      <c r="S6" s="8">
        <f>SUM(J3:J55)</f>
        <v>101.58</v>
      </c>
      <c r="T6" s="11"/>
      <c r="AA6" s="4"/>
      <c r="AB6" s="4"/>
      <c r="AC6" s="4"/>
      <c r="AD6" s="12"/>
      <c r="AE6" s="7"/>
      <c r="AF6" s="4"/>
      <c r="AG6" s="4"/>
      <c r="AH6" s="4"/>
      <c r="AI6" s="4"/>
      <c r="AJ6" s="8"/>
      <c r="AK6" s="4"/>
      <c r="AL6" s="4"/>
      <c r="AM6" s="4"/>
      <c r="AN6" s="4"/>
    </row>
    <row r="7">
      <c r="A7" s="3" t="s">
        <v>30</v>
      </c>
      <c r="B7" s="3">
        <v>2</v>
      </c>
      <c r="C7" s="3">
        <f>B7*$C$1</f>
        <v>2</v>
      </c>
      <c r="D7" s="3" t="s">
        <v>31</v>
      </c>
      <c r="E7" s="7" t="s">
        <v>32</v>
      </c>
      <c r="F7" s="4">
        <v>0.10000000000000001</v>
      </c>
      <c r="G7" s="4">
        <v>0.027</v>
      </c>
      <c r="H7" s="4">
        <v>0.155</v>
      </c>
      <c r="I7" s="4">
        <v>0.0095300000000000003</v>
      </c>
      <c r="J7" s="8">
        <f>IF(MIN(IF(I7=0,1000000,I7*ROUNDUP(C7,-3)),IF(H7=0,1000000,H7*ROUNDUP(C7,-2)),IF(G7=0,1000000,G7*ROUNDUP(C7,-1)),IF(F7=0,1000000,F7*C7))=1000000,0,MIN(IF(I7=0,1000000,I7*ROUNDUP(C7,-3)),IF(H7=0,1000000,H7*ROUNDUP(C7,-2)),IF(G7=0,1000000,G7*ROUNDUP(C7,-1)),IF(F7=0,1000000,F7*C7)))</f>
        <v>0.20000000000000001</v>
      </c>
      <c r="K7" s="4">
        <f>IF(J7=IF(F7=0,1000000,F7*C7),C7,IF(J7=IF(G7=0,1000000,G7*ROUNDUP(C7,-1)),ROUNDUP(C7,-1),IF(J7=IF(H7=0,1000000,H7*ROUNDUP(C7,-2)),ROUNDUP(C7,-2),IF(J7=IF(I7=0,1000000,I7*ROUNDUP(C7,-3)),ROUNDUP(C7,-3),0))))</f>
        <v>2</v>
      </c>
      <c r="L7" s="4" t="s">
        <v>33</v>
      </c>
      <c r="M7" s="4"/>
      <c r="N7" s="4"/>
      <c r="P7" s="4"/>
      <c r="Q7" s="5" t="s">
        <v>34</v>
      </c>
      <c r="R7" s="5"/>
      <c r="S7">
        <f>SUM(K3:K55)</f>
        <v>104</v>
      </c>
      <c r="AA7" s="4"/>
      <c r="AB7" s="4"/>
      <c r="AC7" s="4"/>
      <c r="AD7" s="13"/>
      <c r="AE7" s="7"/>
      <c r="AF7" s="4"/>
      <c r="AG7" s="4"/>
      <c r="AH7" s="4"/>
      <c r="AI7" s="4"/>
      <c r="AJ7" s="8"/>
      <c r="AK7" s="4"/>
      <c r="AL7" s="4"/>
      <c r="AM7" s="4"/>
      <c r="AN7" s="4"/>
    </row>
    <row r="8">
      <c r="A8" s="3" t="s">
        <v>35</v>
      </c>
      <c r="B8" s="3">
        <v>1</v>
      </c>
      <c r="C8" s="3">
        <f>B8*$C$1</f>
        <v>1</v>
      </c>
      <c r="D8" s="3" t="s">
        <v>36</v>
      </c>
      <c r="E8" s="7" t="s">
        <v>37</v>
      </c>
      <c r="F8" s="4">
        <v>0.10000000000000001</v>
      </c>
      <c r="G8" s="4">
        <v>0.029000000000000001</v>
      </c>
      <c r="H8" s="4">
        <v>0.016400000000000001</v>
      </c>
      <c r="I8" s="4">
        <v>0.010120000000000001</v>
      </c>
      <c r="J8" s="8">
        <f>IF(MIN(IF(I8=0,1000000,I8*ROUNDUP(C8,-3)),IF(H8=0,1000000,H8*ROUNDUP(C8,-2)),IF(G8=0,1000000,G8*ROUNDUP(C8,-1)),IF(F8=0,1000000,F8*C8))=1000000,0,MIN(IF(I8=0,1000000,I8*ROUNDUP(C8,-3)),IF(H8=0,1000000,H8*ROUNDUP(C8,-2)),IF(G8=0,1000000,G8*ROUNDUP(C8,-1)),IF(F8=0,1000000,F8*C8)))</f>
        <v>0.10000000000000001</v>
      </c>
      <c r="K8" s="4">
        <f>IF(J8=IF(F8=0,1000000,F8*C8),C8,IF(J8=IF(G8=0,1000000,G8*ROUNDUP(C8,-1)),ROUNDUP(C8,-1),IF(J8=IF(H8=0,1000000,H8*ROUNDUP(C8,-2)),ROUNDUP(C8,-2),IF(J8=IF(I8=0,1000000,I8*ROUNDUP(C8,-3)),ROUNDUP(C8,-3),0))))</f>
        <v>1</v>
      </c>
      <c r="L8" s="4" t="s">
        <v>38</v>
      </c>
      <c r="M8" s="4"/>
      <c r="N8" s="4"/>
      <c r="P8" s="4"/>
      <c r="AA8" s="4"/>
      <c r="AB8" s="4"/>
      <c r="AC8" s="4"/>
      <c r="AD8" s="14"/>
      <c r="AE8" s="7"/>
      <c r="AF8" s="4"/>
      <c r="AG8" s="4"/>
      <c r="AH8" s="4"/>
      <c r="AI8" s="4"/>
      <c r="AJ8" s="8"/>
      <c r="AK8" s="4"/>
      <c r="AL8" s="4"/>
      <c r="AM8" s="4"/>
      <c r="AN8" s="4"/>
    </row>
    <row r="9">
      <c r="A9" s="3" t="s">
        <v>39</v>
      </c>
      <c r="B9" s="3">
        <v>1</v>
      </c>
      <c r="C9" s="3">
        <f>B9*$C$1</f>
        <v>1</v>
      </c>
      <c r="D9" s="3" t="s">
        <v>40</v>
      </c>
      <c r="E9" s="7" t="s">
        <v>41</v>
      </c>
      <c r="F9" s="4">
        <v>0.10000000000000001</v>
      </c>
      <c r="G9" s="4">
        <v>0.043999999999999997</v>
      </c>
      <c r="H9" s="4">
        <v>0.025700000000000001</v>
      </c>
      <c r="I9" s="4">
        <v>0.016389999999999998</v>
      </c>
      <c r="J9" s="8">
        <f>IF(MIN(IF(I9=0,1000000,I9*ROUNDUP(C9,-3)),IF(H9=0,1000000,H9*ROUNDUP(C9,-2)),IF(G9=0,1000000,G9*ROUNDUP(C9,-1)),IF(F9=0,1000000,F9*C9))=1000000,0,MIN(IF(I9=0,1000000,I9*ROUNDUP(C9,-3)),IF(H9=0,1000000,H9*ROUNDUP(C9,-2)),IF(G9=0,1000000,G9*ROUNDUP(C9,-1)),IF(F9=0,1000000,F9*C9)))</f>
        <v>0.10000000000000001</v>
      </c>
      <c r="K9" s="4">
        <f>IF(J9=IF(F9=0,1000000,F9*C9),C9,IF(J9=IF(G9=0,1000000,G9*ROUNDUP(C9,-1)),ROUNDUP(C9,-1),IF(J9=IF(H9=0,1000000,H9*ROUNDUP(C9,-2)),ROUNDUP(C9,-2),IF(J9=IF(I9=0,1000000,I9*ROUNDUP(C9,-3)),ROUNDUP(C9,-3),0))))</f>
        <v>1</v>
      </c>
      <c r="L9" s="4" t="s">
        <v>42</v>
      </c>
      <c r="M9" s="4"/>
      <c r="N9" s="4"/>
      <c r="P9" s="4"/>
      <c r="Q9" s="5" t="s">
        <v>43</v>
      </c>
      <c r="R9" s="5"/>
      <c r="S9" s="8">
        <f>S6/C1</f>
        <v>101.58</v>
      </c>
      <c r="AA9" s="4"/>
      <c r="AB9" s="4"/>
      <c r="AC9" s="4"/>
      <c r="AD9" s="15"/>
      <c r="AE9" s="7"/>
      <c r="AF9" s="4"/>
      <c r="AG9" s="4"/>
      <c r="AH9" s="4"/>
      <c r="AI9" s="4"/>
      <c r="AJ9" s="8"/>
      <c r="AK9" s="4"/>
      <c r="AL9" s="4"/>
      <c r="AM9" s="4"/>
      <c r="AN9" s="4"/>
    </row>
    <row r="10">
      <c r="A10" s="3" t="s">
        <v>44</v>
      </c>
      <c r="B10" s="3">
        <v>2</v>
      </c>
      <c r="C10" s="3">
        <f>B10*$C$1</f>
        <v>2</v>
      </c>
      <c r="D10" s="3" t="s">
        <v>45</v>
      </c>
      <c r="E10" s="7" t="s">
        <v>46</v>
      </c>
      <c r="F10" s="4">
        <v>0.10000000000000001</v>
      </c>
      <c r="G10" s="4">
        <v>0.044999999999999998</v>
      </c>
      <c r="H10" s="4">
        <v>0.0264</v>
      </c>
      <c r="I10" s="4">
        <v>0.01686</v>
      </c>
      <c r="J10" s="8">
        <f>IF(MIN(IF(I10=0,1000000,I10*ROUNDUP(C10,-3)),IF(H10=0,1000000,H10*ROUNDUP(C10,-2)),IF(G10=0,1000000,G10*ROUNDUP(C10,-1)),IF(F10=0,1000000,F10*C10))=1000000,0,MIN(IF(I10=0,1000000,I10*ROUNDUP(C10,-3)),IF(H10=0,1000000,H10*ROUNDUP(C10,-2)),IF(G10=0,1000000,G10*ROUNDUP(C10,-1)),IF(F10=0,1000000,F10*C10)))</f>
        <v>0.20000000000000001</v>
      </c>
      <c r="K10" s="4">
        <f>IF(J10=IF(F10=0,1000000,F10*C10),C10,IF(J10=IF(G10=0,1000000,G10*ROUNDUP(C10,-1)),ROUNDUP(C10,-1),IF(J10=IF(H10=0,1000000,H10*ROUNDUP(C10,-2)),ROUNDUP(C10,-2),IF(J10=IF(I10=0,1000000,I10*ROUNDUP(C10,-3)),ROUNDUP(C10,-3),0))))</f>
        <v>2</v>
      </c>
      <c r="L10" s="4" t="s">
        <v>47</v>
      </c>
      <c r="M10" s="4"/>
      <c r="N10" s="4"/>
      <c r="P10" s="4"/>
      <c r="Q10" s="5" t="s">
        <v>48</v>
      </c>
      <c r="R10" s="5"/>
      <c r="S10">
        <f>S7/C1</f>
        <v>104</v>
      </c>
      <c r="AA10" s="4"/>
      <c r="AB10" s="4"/>
      <c r="AC10" s="4"/>
      <c r="AD10" s="12"/>
      <c r="AE10" s="7"/>
      <c r="AF10" s="4"/>
      <c r="AG10" s="4"/>
      <c r="AH10" s="4"/>
      <c r="AI10" s="4"/>
      <c r="AJ10" s="8"/>
      <c r="AK10" s="4"/>
      <c r="AL10" s="4"/>
      <c r="AM10" s="4"/>
      <c r="AN10" s="4"/>
    </row>
    <row r="11">
      <c r="A11" s="3" t="s">
        <v>49</v>
      </c>
      <c r="B11" s="3">
        <v>1</v>
      </c>
      <c r="C11" s="3">
        <f>B11*$C$1</f>
        <v>1</v>
      </c>
      <c r="D11" s="3" t="s">
        <v>50</v>
      </c>
      <c r="E11" s="7" t="s">
        <v>51</v>
      </c>
      <c r="F11" s="4">
        <v>0.10000000000000001</v>
      </c>
      <c r="G11" s="4">
        <v>0.044999999999999998</v>
      </c>
      <c r="H11" s="4">
        <v>0.026599999999999999</v>
      </c>
      <c r="I11" s="4">
        <v>0.016959999999999999</v>
      </c>
      <c r="J11" s="8">
        <f>IF(MIN(IF(I11=0,1000000,I11*ROUNDUP(C11,-3)),IF(H11=0,1000000,H11*ROUNDUP(C11,-2)),IF(G11=0,1000000,G11*ROUNDUP(C11,-1)),IF(F11=0,1000000,F11*C11))=1000000,0,MIN(IF(I11=0,1000000,I11*ROUNDUP(C11,-3)),IF(H11=0,1000000,H11*ROUNDUP(C11,-2)),IF(G11=0,1000000,G11*ROUNDUP(C11,-1)),IF(F11=0,1000000,F11*C11)))</f>
        <v>0.10000000000000001</v>
      </c>
      <c r="K11" s="4">
        <f>IF(J11=IF(F11=0,1000000,F11*C11),C11,IF(J11=IF(G11=0,1000000,G11*ROUNDUP(C11,-1)),ROUNDUP(C11,-1),IF(J11=IF(H11=0,1000000,H11*ROUNDUP(C11,-2)),ROUNDUP(C11,-2),IF(J11=IF(I11=0,1000000,I11*ROUNDUP(C11,-3)),ROUNDUP(C11,-3),0))))</f>
        <v>1</v>
      </c>
      <c r="L11" s="4" t="s">
        <v>52</v>
      </c>
      <c r="M11" s="4"/>
      <c r="N11" s="4"/>
      <c r="P11" s="4"/>
      <c r="S11" s="8"/>
      <c r="AA11" s="4"/>
      <c r="AB11" s="4"/>
      <c r="AC11" s="4"/>
      <c r="AD11" s="4"/>
      <c r="AE11" s="4"/>
      <c r="AF11" s="4"/>
      <c r="AG11" s="4"/>
      <c r="AH11" s="4"/>
      <c r="AI11" s="4"/>
      <c r="AJ11" s="8"/>
      <c r="AK11" s="4"/>
      <c r="AL11" s="4"/>
      <c r="AM11" s="4"/>
      <c r="AN11" s="4"/>
    </row>
    <row r="12">
      <c r="A12" s="3" t="s">
        <v>53</v>
      </c>
      <c r="B12" s="3">
        <v>1</v>
      </c>
      <c r="C12" s="3">
        <f>B12*$C$1</f>
        <v>1</v>
      </c>
      <c r="D12" s="3" t="s">
        <v>54</v>
      </c>
      <c r="E12" s="7" t="s">
        <v>55</v>
      </c>
      <c r="F12" s="4">
        <v>0.10000000000000001</v>
      </c>
      <c r="G12" s="4">
        <v>0.034000000000000002</v>
      </c>
      <c r="H12" s="4">
        <v>0.0293</v>
      </c>
      <c r="I12" s="4">
        <v>0.01205</v>
      </c>
      <c r="J12" s="8">
        <f>IF(MIN(IF(I12=0,1000000,I12*ROUNDUP(C12,-3)),IF(H12=0,1000000,H12*ROUNDUP(C12,-2)),IF(G12=0,1000000,G12*ROUNDUP(C12,-1)),IF(F12=0,1000000,F12*C12))=1000000,0,MIN(IF(I12=0,1000000,I12*ROUNDUP(C12,-3)),IF(H12=0,1000000,H12*ROUNDUP(C12,-2)),IF(G12=0,1000000,G12*ROUNDUP(C12,-1)),IF(F12=0,1000000,F12*C12)))</f>
        <v>0.10000000000000001</v>
      </c>
      <c r="K12" s="4">
        <f>IF(J12=IF(F12=0,1000000,F12*C12),C12,IF(J12=IF(G12=0,1000000,G12*ROUNDUP(C12,-1)),ROUNDUP(C12,-1),IF(J12=IF(H12=0,1000000,H12*ROUNDUP(C12,-2)),ROUNDUP(C12,-2),IF(J12=IF(I12=0,1000000,I12*ROUNDUP(C12,-3)),ROUNDUP(C12,-3),0))))</f>
        <v>1</v>
      </c>
      <c r="L12" s="4" t="s">
        <v>56</v>
      </c>
      <c r="M12" s="4"/>
      <c r="N12" s="4"/>
      <c r="P12" s="4"/>
      <c r="Q12" s="5" t="s">
        <v>57</v>
      </c>
      <c r="R12" s="5"/>
      <c r="S12" s="16">
        <f>SUM(B3:B55)</f>
        <v>100</v>
      </c>
      <c r="AA12" s="4"/>
      <c r="AB12" s="4"/>
      <c r="AC12" s="4"/>
      <c r="AD12" s="12"/>
      <c r="AE12" s="7"/>
      <c r="AF12" s="4"/>
      <c r="AG12" s="4"/>
      <c r="AH12" s="4"/>
      <c r="AI12" s="4"/>
      <c r="AJ12" s="8"/>
      <c r="AK12" s="4"/>
      <c r="AL12" s="4"/>
      <c r="AM12" s="4"/>
      <c r="AN12" s="4"/>
    </row>
    <row r="13">
      <c r="A13" s="3" t="s">
        <v>58</v>
      </c>
      <c r="B13" s="3">
        <v>1</v>
      </c>
      <c r="C13" s="3">
        <f>B13*$C$1</f>
        <v>1</v>
      </c>
      <c r="D13" s="3" t="s">
        <v>59</v>
      </c>
      <c r="E13" s="7" t="s">
        <v>60</v>
      </c>
      <c r="F13" s="4">
        <v>0.10000000000000001</v>
      </c>
      <c r="G13" s="4">
        <v>0.024</v>
      </c>
      <c r="H13" s="4">
        <v>0.0137</v>
      </c>
      <c r="I13" s="4">
        <v>0.0083599999999999994</v>
      </c>
      <c r="J13" s="8">
        <f>IF(MIN(IF(I13=0,1000000,I13*ROUNDUP(C13,-3)),IF(H13=0,1000000,H13*ROUNDUP(C13,-2)),IF(G13=0,1000000,G13*ROUNDUP(C13,-1)),IF(F13=0,1000000,F13*C13))=1000000,0,MIN(IF(I13=0,1000000,I13*ROUNDUP(C13,-3)),IF(H13=0,1000000,H13*ROUNDUP(C13,-2)),IF(G13=0,1000000,G13*ROUNDUP(C13,-1)),IF(F13=0,1000000,F13*C13)))</f>
        <v>0.10000000000000001</v>
      </c>
      <c r="K13" s="4">
        <f>IF(J13=IF(F13=0,1000000,F13*C13),C13,IF(J13=IF(G13=0,1000000,G13*ROUNDUP(C13,-1)),ROUNDUP(C13,-1),IF(J13=IF(H13=0,1000000,H13*ROUNDUP(C13,-2)),ROUNDUP(C13,-2),IF(J13=IF(I13=0,1000000,I13*ROUNDUP(C13,-3)),ROUNDUP(C13,-3),0))))</f>
        <v>1</v>
      </c>
      <c r="L13" s="4" t="s">
        <v>61</v>
      </c>
      <c r="M13" s="4"/>
      <c r="N13" s="4"/>
      <c r="P13" s="4"/>
      <c r="Q13" s="5" t="s">
        <v>62</v>
      </c>
      <c r="R13" s="5"/>
      <c r="S13" s="17">
        <f>S10/S12</f>
        <v>1.04</v>
      </c>
      <c r="AA13" s="4"/>
      <c r="AB13" s="4"/>
      <c r="AC13" s="4"/>
      <c r="AD13" s="18"/>
      <c r="AE13" s="7"/>
      <c r="AF13" s="4"/>
      <c r="AG13" s="4"/>
      <c r="AH13" s="4"/>
      <c r="AI13" s="4"/>
      <c r="AJ13" s="8"/>
      <c r="AK13" s="4"/>
      <c r="AL13" s="4"/>
      <c r="AM13" s="4"/>
      <c r="AN13" s="4"/>
    </row>
    <row r="14">
      <c r="A14" s="3" t="s">
        <v>63</v>
      </c>
      <c r="B14" s="3">
        <v>1</v>
      </c>
      <c r="C14" s="3">
        <f>B14*$C$1</f>
        <v>1</v>
      </c>
      <c r="D14" s="3" t="s">
        <v>64</v>
      </c>
      <c r="E14" s="7" t="s">
        <v>65</v>
      </c>
      <c r="F14" s="4">
        <v>0.10000000000000001</v>
      </c>
      <c r="G14" s="4">
        <v>0.050000000000000003</v>
      </c>
      <c r="H14" s="4">
        <v>0.029499999999999998</v>
      </c>
      <c r="I14" s="4">
        <v>0.018960000000000001</v>
      </c>
      <c r="J14" s="8">
        <f>IF(MIN(IF(I14=0,1000000,I14*ROUNDUP(C14,-3)),IF(H14=0,1000000,H14*ROUNDUP(C14,-2)),IF(G14=0,1000000,G14*ROUNDUP(C14,-1)),IF(F14=0,1000000,F14*C14))=1000000,0,MIN(IF(I14=0,1000000,I14*ROUNDUP(C14,-3)),IF(H14=0,1000000,H14*ROUNDUP(C14,-2)),IF(G14=0,1000000,G14*ROUNDUP(C14,-1)),IF(F14=0,1000000,F14*C14)))</f>
        <v>0.10000000000000001</v>
      </c>
      <c r="K14" s="4">
        <f>IF(J14=IF(F14=0,1000000,F14*C14),C14,IF(J14=IF(G14=0,1000000,G14*ROUNDUP(C14,-1)),ROUNDUP(C14,-1),IF(J14=IF(H14=0,1000000,H14*ROUNDUP(C14,-2)),ROUNDUP(C14,-2),IF(J14=IF(I14=0,1000000,I14*ROUNDUP(C14,-3)),ROUNDUP(C14,-3),0))))</f>
        <v>1</v>
      </c>
      <c r="L14" s="4" t="s">
        <v>66</v>
      </c>
      <c r="M14" s="4"/>
      <c r="N14" s="4"/>
      <c r="P14" s="4"/>
      <c r="S14" s="8"/>
      <c r="AA14" s="4"/>
      <c r="AB14" s="4"/>
      <c r="AC14" s="4"/>
      <c r="AD14" s="19"/>
      <c r="AE14" s="7"/>
      <c r="AF14" s="4"/>
      <c r="AG14" s="4"/>
      <c r="AH14" s="4"/>
      <c r="AI14" s="4"/>
      <c r="AJ14" s="8"/>
      <c r="AK14" s="4"/>
      <c r="AL14" s="4"/>
      <c r="AM14" s="4"/>
      <c r="AN14" s="4"/>
    </row>
    <row r="15">
      <c r="A15" s="3" t="s">
        <v>67</v>
      </c>
      <c r="B15" s="3">
        <v>1</v>
      </c>
      <c r="C15" s="3">
        <f>B15*$C$1</f>
        <v>1</v>
      </c>
      <c r="D15" s="3" t="s">
        <v>68</v>
      </c>
      <c r="E15" s="7" t="s">
        <v>69</v>
      </c>
      <c r="F15" s="4">
        <v>0.10000000000000001</v>
      </c>
      <c r="G15" s="4">
        <v>0.037999999999999999</v>
      </c>
      <c r="H15" s="4">
        <v>0.021600000000000001</v>
      </c>
      <c r="I15" s="4">
        <v>0.01362</v>
      </c>
      <c r="J15" s="8">
        <f>IF(MIN(IF(I15=0,1000000,I15*ROUNDUP(C15,-3)),IF(H15=0,1000000,H15*ROUNDUP(C15,-2)),IF(G15=0,1000000,G15*ROUNDUP(C15,-1)),IF(F15=0,1000000,F15*C15))=1000000,0,MIN(IF(I15=0,1000000,I15*ROUNDUP(C15,-3)),IF(H15=0,1000000,H15*ROUNDUP(C15,-2)),IF(G15=0,1000000,G15*ROUNDUP(C15,-1)),IF(F15=0,1000000,F15*C15)))</f>
        <v>0.10000000000000001</v>
      </c>
      <c r="K15" s="4">
        <f>IF(J15=IF(F15=0,1000000,F15*C15),C15,IF(J15=IF(G15=0,1000000,G15*ROUNDUP(C15,-1)),ROUNDUP(C15,-1),IF(J15=IF(H15=0,1000000,H15*ROUNDUP(C15,-2)),ROUNDUP(C15,-2),IF(J15=IF(I15=0,1000000,I15*ROUNDUP(C15,-3)),ROUNDUP(C15,-3),0))))</f>
        <v>1</v>
      </c>
      <c r="L15" s="4" t="s">
        <v>70</v>
      </c>
      <c r="M15" s="4"/>
      <c r="N15" s="4"/>
      <c r="P15" s="4"/>
      <c r="S15" s="8"/>
      <c r="AA15" s="4"/>
      <c r="AB15" s="4"/>
      <c r="AC15" s="4"/>
      <c r="AD15" s="20"/>
      <c r="AE15" s="7"/>
      <c r="AF15" s="4"/>
      <c r="AG15" s="4"/>
      <c r="AH15" s="4"/>
      <c r="AI15" s="4"/>
      <c r="AJ15" s="8"/>
      <c r="AK15" s="4"/>
      <c r="AL15" s="4"/>
      <c r="AM15" s="4"/>
      <c r="AN15" s="4"/>
    </row>
    <row r="16">
      <c r="A16" s="3" t="s">
        <v>71</v>
      </c>
      <c r="B16" s="3">
        <v>2</v>
      </c>
      <c r="C16" s="3">
        <f>B16*$C$1</f>
        <v>2</v>
      </c>
      <c r="D16" s="3" t="s">
        <v>72</v>
      </c>
      <c r="E16" s="7"/>
      <c r="F16" s="4"/>
      <c r="G16" s="4"/>
      <c r="H16" s="4"/>
      <c r="I16" s="4"/>
      <c r="J16" s="8">
        <f>IF(MIN(IF(I16=0,1000000,I16*ROUNDUP(C16,-3)),IF(H16=0,1000000,H16*ROUNDUP(C16,-2)),IF(G16=0,1000000,G16*ROUNDUP(C16,-1)),IF(F16=0,1000000,F16*C16))=1000000,0,MIN(IF(I16=0,1000000,I16*ROUNDUP(C16,-3)),IF(H16=0,1000000,H16*ROUNDUP(C16,-2)),IF(G16=0,1000000,G16*ROUNDUP(C16,-1)),IF(F16=0,1000000,F16*C16)))</f>
        <v>0</v>
      </c>
      <c r="K16" s="4">
        <f>IF(J16=IF(F16=0,1000000,F16*C16),C16,IF(J16=IF(G16=0,1000000,G16*ROUNDUP(C16,-1)),ROUNDUP(C16,-1),IF(J16=IF(H16=0,1000000,H16*ROUNDUP(C16,-2)),ROUNDUP(C16,-2),IF(J16=IF(I16=0,1000000,I16*ROUNDUP(C16,-3)),ROUNDUP(C16,-3),0))))</f>
        <v>0</v>
      </c>
      <c r="L16" s="4"/>
      <c r="M16" s="4"/>
      <c r="N16" s="4"/>
      <c r="P16" s="4"/>
      <c r="S16" s="8"/>
      <c r="AA16" s="4"/>
      <c r="AB16" s="4"/>
      <c r="AC16" s="4"/>
      <c r="AD16" s="20"/>
      <c r="AE16" s="7"/>
      <c r="AF16" s="4"/>
      <c r="AG16" s="4"/>
      <c r="AH16" s="4"/>
      <c r="AI16" s="4"/>
      <c r="AJ16" s="8"/>
      <c r="AK16" s="4"/>
      <c r="AL16" s="4"/>
      <c r="AM16" s="4"/>
      <c r="AN16" s="4"/>
    </row>
    <row r="17">
      <c r="A17" s="3" t="s">
        <v>73</v>
      </c>
      <c r="B17" s="3">
        <v>2</v>
      </c>
      <c r="C17" s="3">
        <f>B17*$C$1</f>
        <v>2</v>
      </c>
      <c r="D17" s="3" t="s">
        <v>74</v>
      </c>
      <c r="E17" s="7" t="s">
        <v>75</v>
      </c>
      <c r="F17" s="4">
        <v>0.10000000000000001</v>
      </c>
      <c r="G17" s="4">
        <v>0.058000000000000003</v>
      </c>
      <c r="H17" s="4"/>
      <c r="I17" s="4"/>
      <c r="J17" s="8">
        <f>IF(MIN(IF(I17=0,1000000,I17*ROUNDUP(C17,-3)),IF(H17=0,1000000,H17*ROUNDUP(C17,-2)),IF(G17=0,1000000,G17*ROUNDUP(C17,-1)),IF(F17=0,1000000,F17*C17))=1000000,0,MIN(IF(I17=0,1000000,I17*ROUNDUP(C17,-3)),IF(H17=0,1000000,H17*ROUNDUP(C17,-2)),IF(G17=0,1000000,G17*ROUNDUP(C17,-1)),IF(F17=0,1000000,F17*C17)))</f>
        <v>0.20000000000000001</v>
      </c>
      <c r="K17" s="4">
        <f>IF(J17=IF(F17=0,1000000,F17*C17),C17,IF(J17=IF(G17=0,1000000,G17*ROUNDUP(C17,-1)),ROUNDUP(C17,-1),IF(J17=IF(H17=0,1000000,H17*ROUNDUP(C17,-2)),ROUNDUP(C17,-2),IF(J17=IF(I17=0,1000000,I17*ROUNDUP(C17,-3)),ROUNDUP(C17,-3),0))))</f>
        <v>2</v>
      </c>
      <c r="L17" s="4" t="s">
        <v>76</v>
      </c>
      <c r="M17" s="4"/>
      <c r="N17" s="4"/>
      <c r="P17" s="4"/>
      <c r="S17" s="8"/>
      <c r="AA17" s="4"/>
      <c r="AB17" s="4"/>
      <c r="AC17" s="4"/>
      <c r="AD17" s="18"/>
      <c r="AE17" s="7"/>
      <c r="AF17" s="4"/>
      <c r="AG17" s="4"/>
      <c r="AH17" s="4"/>
      <c r="AI17" s="4"/>
      <c r="AJ17" s="8"/>
      <c r="AK17" s="4"/>
      <c r="AL17" s="4"/>
      <c r="AM17" s="4"/>
      <c r="AN17" s="4"/>
    </row>
    <row r="18">
      <c r="A18" s="3" t="s">
        <v>77</v>
      </c>
      <c r="B18" s="3">
        <v>2</v>
      </c>
      <c r="C18" s="3">
        <f>B18*$C$1</f>
        <v>2</v>
      </c>
      <c r="D18" s="3" t="s">
        <v>78</v>
      </c>
      <c r="E18" s="7" t="s">
        <v>79</v>
      </c>
      <c r="F18" s="3">
        <v>0.10000000000000001</v>
      </c>
      <c r="G18" s="3">
        <v>0.84999999999999998</v>
      </c>
      <c r="H18" s="3"/>
      <c r="I18" s="3"/>
      <c r="J18" s="8">
        <f>IF(MIN(IF(I18=0,1000000,I18*ROUNDUP(C18,-3)),IF(H18=0,1000000,H18*ROUNDUP(C18,-2)),IF(G18=0,1000000,G18*ROUNDUP(C18,-1)),IF(F18=0,1000000,F18*C18))=1000000,0,MIN(IF(I18=0,1000000,I18*ROUNDUP(C18,-3)),IF(H18=0,1000000,H18*ROUNDUP(C18,-2)),IF(G18=0,1000000,G18*ROUNDUP(C18,-1)),IF(F18=0,1000000,F18*C18)))</f>
        <v>0.20000000000000001</v>
      </c>
      <c r="K18" s="4">
        <f>IF(J18=IF(F18=0,1000000,F18*C18),C18,IF(J18=IF(G18=0,1000000,G18*ROUNDUP(C18,-1)),ROUNDUP(C18,-1),IF(J18=IF(H18=0,1000000,H18*ROUNDUP(C18,-2)),ROUNDUP(C18,-2),IF(J18=IF(I18=0,1000000,I18*ROUNDUP(C18,-3)),ROUNDUP(C18,-3),0))))</f>
        <v>2</v>
      </c>
      <c r="L18" s="3" t="s">
        <v>80</v>
      </c>
      <c r="M18" s="4"/>
      <c r="N18" s="4"/>
      <c r="P18" s="4"/>
      <c r="S18" s="8"/>
      <c r="AA18" s="4"/>
      <c r="AB18" s="4"/>
      <c r="AC18" s="4"/>
      <c r="AD18" s="4"/>
      <c r="AE18" s="7"/>
      <c r="AF18" s="4"/>
      <c r="AG18" s="4"/>
      <c r="AH18" s="4"/>
      <c r="AI18" s="4"/>
      <c r="AJ18" s="8"/>
      <c r="AK18" s="4"/>
      <c r="AL18" s="4"/>
      <c r="AM18" s="4"/>
      <c r="AN18" s="4"/>
    </row>
    <row r="19">
      <c r="A19" s="3" t="s">
        <v>81</v>
      </c>
      <c r="B19" s="3">
        <v>2</v>
      </c>
      <c r="C19" s="3">
        <f>B19*$C$1</f>
        <v>2</v>
      </c>
      <c r="D19" s="3" t="s">
        <v>82</v>
      </c>
      <c r="E19" s="7" t="s">
        <v>83</v>
      </c>
      <c r="F19" s="4">
        <v>0.63</v>
      </c>
      <c r="G19" s="4">
        <v>0.437</v>
      </c>
      <c r="H19" s="4">
        <v>0.31680000000000003</v>
      </c>
      <c r="I19" s="4">
        <v>0.24492</v>
      </c>
      <c r="J19" s="8">
        <f>IF(MIN(IF(I19=0,1000000,I19*ROUNDUP(C19,-3)),IF(H19=0,1000000,H19*ROUNDUP(C19,-2)),IF(G19=0,1000000,G19*ROUNDUP(C19,-1)),IF(F19=0,1000000,F19*C19))=1000000,0,MIN(IF(I19=0,1000000,I19*ROUNDUP(C19,-3)),IF(H19=0,1000000,H19*ROUNDUP(C19,-2)),IF(G19=0,1000000,G19*ROUNDUP(C19,-1)),IF(F19=0,1000000,F19*C19)))</f>
        <v>1.26</v>
      </c>
      <c r="K19" s="4">
        <f>IF(J19=IF(F19=0,1000000,F19*C19),C19,IF(J19=IF(G19=0,1000000,G19*ROUNDUP(C19,-1)),ROUNDUP(C19,-1),IF(J19=IF(H19=0,1000000,H19*ROUNDUP(C19,-2)),ROUNDUP(C19,-2),IF(J19=IF(I19=0,1000000,I19*ROUNDUP(C19,-3)),ROUNDUP(C19,-3),0))))</f>
        <v>2</v>
      </c>
      <c r="L19" s="4" t="s">
        <v>84</v>
      </c>
      <c r="M19" s="4"/>
      <c r="N19" s="4"/>
      <c r="P19" s="4"/>
      <c r="Q19" s="4"/>
      <c r="R19" s="4"/>
      <c r="AA19" s="4"/>
      <c r="AB19" s="4"/>
      <c r="AC19" s="4"/>
      <c r="AD19" s="21"/>
      <c r="AE19" s="7"/>
      <c r="AF19" s="4"/>
      <c r="AG19" s="4"/>
      <c r="AH19" s="4"/>
      <c r="AI19" s="4"/>
      <c r="AJ19" s="8"/>
      <c r="AK19" s="4"/>
      <c r="AL19" s="4"/>
      <c r="AM19" s="4"/>
      <c r="AN19" s="4"/>
    </row>
    <row r="20">
      <c r="A20" s="3" t="s">
        <v>85</v>
      </c>
      <c r="B20" s="3">
        <v>1</v>
      </c>
      <c r="C20" s="3">
        <f>B20*$C$1</f>
        <v>1</v>
      </c>
      <c r="D20" s="3" t="s">
        <v>86</v>
      </c>
      <c r="E20" s="7" t="s">
        <v>87</v>
      </c>
      <c r="F20" s="4">
        <v>0.78000000000000003</v>
      </c>
      <c r="G20" s="4">
        <v>0.65900000000000003</v>
      </c>
      <c r="H20" s="4">
        <v>0.55969999999999998</v>
      </c>
      <c r="I20" s="4"/>
      <c r="J20" s="8">
        <f>IF(MIN(IF(I20=0,1000000,I20*ROUNDUP(C20,-3)),IF(H20=0,1000000,H20*ROUNDUP(C20,-2)),IF(G20=0,1000000,G20*ROUNDUP(C20,-1)),IF(F20=0,1000000,F20*C20))=1000000,0,MIN(IF(I20=0,1000000,I20*ROUNDUP(C20,-3)),IF(H20=0,1000000,H20*ROUNDUP(C20,-2)),IF(G20=0,1000000,G20*ROUNDUP(C20,-1)),IF(F20=0,1000000,F20*C20)))</f>
        <v>0.78000000000000003</v>
      </c>
      <c r="K20" s="4">
        <f>IF(J20=IF(F20=0,1000000,F20*C20),C20,IF(J20=IF(G20=0,1000000,G20*ROUNDUP(C20,-1)),ROUNDUP(C20,-1),IF(J20=IF(H20=0,1000000,H20*ROUNDUP(C20,-2)),ROUNDUP(C20,-2),IF(J20=IF(I20=0,1000000,I20*ROUNDUP(C20,-3)),ROUNDUP(C20,-3),0))))</f>
        <v>1</v>
      </c>
      <c r="L20" s="4" t="s">
        <v>88</v>
      </c>
      <c r="M20" s="4"/>
      <c r="N20" s="4"/>
      <c r="P20" s="4"/>
      <c r="Q20" s="4"/>
      <c r="R20" s="4"/>
      <c r="AA20" s="4"/>
      <c r="AB20" s="4"/>
      <c r="AC20" s="4"/>
      <c r="AD20" s="4"/>
      <c r="AE20" s="7"/>
      <c r="AF20" s="4"/>
      <c r="AG20" s="4"/>
      <c r="AH20" s="4"/>
      <c r="AI20" s="4"/>
      <c r="AJ20" s="8"/>
      <c r="AK20" s="4"/>
      <c r="AL20" s="4"/>
      <c r="AM20" s="4"/>
      <c r="AN20" s="4"/>
    </row>
    <row r="21">
      <c r="A21" s="3" t="s">
        <v>89</v>
      </c>
      <c r="B21" s="3">
        <v>1</v>
      </c>
      <c r="C21" s="3">
        <f>B21*$C$1</f>
        <v>1</v>
      </c>
      <c r="D21" s="3" t="s">
        <v>90</v>
      </c>
      <c r="E21" s="7" t="s">
        <v>91</v>
      </c>
      <c r="F21" s="3">
        <v>2.3500000000000001</v>
      </c>
      <c r="G21" s="3">
        <v>1.6870000000000001</v>
      </c>
      <c r="H21" s="3">
        <v>1.2173</v>
      </c>
      <c r="I21" s="3">
        <v>0.96562999999999999</v>
      </c>
      <c r="J21" s="8">
        <f>IF(MIN(IF(I21=0,1000000,I21*ROUNDUP(C21,-3)),IF(H21=0,1000000,H21*ROUNDUP(C21,-2)),IF(G21=0,1000000,G21*ROUNDUP(C21,-1)),IF(F21=0,1000000,F21*C21))=1000000,0,MIN(IF(I21=0,1000000,I21*ROUNDUP(C21,-3)),IF(H21=0,1000000,H21*ROUNDUP(C21,-2)),IF(G21=0,1000000,G21*ROUNDUP(C21,-1)),IF(F21=0,1000000,F21*C21)))</f>
        <v>2.3500000000000001</v>
      </c>
      <c r="K21" s="4">
        <f>IF(J21=IF(F21=0,1000000,F21*C21),C21,IF(J21=IF(G21=0,1000000,G21*ROUNDUP(C21,-1)),ROUNDUP(C21,-1),IF(J21=IF(H21=0,1000000,H21*ROUNDUP(C21,-2)),ROUNDUP(C21,-2),IF(J21=IF(I21=0,1000000,I21*ROUNDUP(C21,-3)),ROUNDUP(C21,-3),0))))</f>
        <v>1</v>
      </c>
      <c r="L21" s="4" t="s">
        <v>88</v>
      </c>
      <c r="M21" s="4"/>
      <c r="N21" s="4"/>
      <c r="P21" s="4"/>
      <c r="Q21" s="4"/>
      <c r="R21" s="4"/>
      <c r="AA21" s="4"/>
      <c r="AB21" s="4"/>
      <c r="AC21" s="4"/>
      <c r="AD21" s="4"/>
      <c r="AE21" s="7"/>
      <c r="AF21" s="4"/>
      <c r="AG21" s="4"/>
      <c r="AH21" s="4"/>
      <c r="AI21" s="4"/>
      <c r="AJ21" s="8"/>
      <c r="AK21" s="4"/>
      <c r="AL21" s="22"/>
      <c r="AM21" s="4"/>
      <c r="AN21" s="4"/>
    </row>
    <row r="22">
      <c r="A22" s="3" t="s">
        <v>92</v>
      </c>
      <c r="B22" s="3">
        <v>1</v>
      </c>
      <c r="C22" s="3">
        <f>B22*$C$1</f>
        <v>1</v>
      </c>
      <c r="D22" s="3" t="s">
        <v>93</v>
      </c>
      <c r="E22" s="7" t="s">
        <v>94</v>
      </c>
      <c r="F22" s="3">
        <v>1.6299999999999999</v>
      </c>
      <c r="G22" s="3">
        <v>1.179</v>
      </c>
      <c r="H22" s="3">
        <v>0.84419999999999995</v>
      </c>
      <c r="I22" s="3">
        <v>0.65947999999999996</v>
      </c>
      <c r="J22" s="8">
        <f>IF(MIN(IF(I22=0,1000000,I22*ROUNDUP(C22,-3)),IF(H22=0,1000000,H22*ROUNDUP(C22,-2)),IF(G22=0,1000000,G22*ROUNDUP(C22,-1)),IF(F22=0,1000000,F22*C22))=1000000,0,MIN(IF(I22=0,1000000,I22*ROUNDUP(C22,-3)),IF(H22=0,1000000,H22*ROUNDUP(C22,-2)),IF(G22=0,1000000,G22*ROUNDUP(C22,-1)),IF(F22=0,1000000,F22*C22)))</f>
        <v>1.6299999999999999</v>
      </c>
      <c r="K22" s="4">
        <f>IF(J22=IF(F22=0,1000000,F22*C22),C22,IF(J22=IF(G22=0,1000000,G22*ROUNDUP(C22,-1)),ROUNDUP(C22,-1),IF(J22=IF(H22=0,1000000,H22*ROUNDUP(C22,-2)),ROUNDUP(C22,-2),IF(J22=IF(I22=0,1000000,I22*ROUNDUP(C22,-3)),ROUNDUP(C22,-3),0))))</f>
        <v>1</v>
      </c>
      <c r="L22" s="3" t="s">
        <v>95</v>
      </c>
      <c r="M22" s="4"/>
      <c r="N22" s="4"/>
      <c r="P22" s="4"/>
      <c r="Q22" s="4"/>
      <c r="R22" s="4"/>
      <c r="AA22" s="4"/>
      <c r="AB22" s="4"/>
      <c r="AC22" s="4"/>
      <c r="AD22" s="4"/>
      <c r="AE22" s="7"/>
      <c r="AF22" s="4"/>
      <c r="AG22" s="4"/>
      <c r="AH22" s="4"/>
      <c r="AI22" s="4"/>
      <c r="AJ22" s="8"/>
      <c r="AK22" s="4"/>
      <c r="AL22" s="4"/>
      <c r="AM22" s="4"/>
      <c r="AN22" s="4"/>
    </row>
    <row r="23">
      <c r="A23" s="3" t="s">
        <v>96</v>
      </c>
      <c r="B23" s="3">
        <v>1</v>
      </c>
      <c r="C23" s="3">
        <f>B23*$C$1</f>
        <v>1</v>
      </c>
      <c r="D23" s="3" t="s">
        <v>97</v>
      </c>
      <c r="E23" s="7" t="s">
        <v>98</v>
      </c>
      <c r="F23" s="3">
        <v>0.5</v>
      </c>
      <c r="G23" s="3">
        <v>0.42399999999999999</v>
      </c>
      <c r="H23" s="3">
        <v>0.36030000000000001</v>
      </c>
      <c r="I23" s="3">
        <v>0.30617</v>
      </c>
      <c r="J23" s="8">
        <f>IF(MIN(IF(I23=0,1000000,I23*ROUNDUP(C23,-3)),IF(H23=0,1000000,H23*ROUNDUP(C23,-2)),IF(G23=0,1000000,G23*ROUNDUP(C23,-1)),IF(F23=0,1000000,F23*C23))=1000000,0,MIN(IF(I23=0,1000000,I23*ROUNDUP(C23,-3)),IF(H23=0,1000000,H23*ROUNDUP(C23,-2)),IF(G23=0,1000000,G23*ROUNDUP(C23,-1)),IF(F23=0,1000000,F23*C23)))</f>
        <v>0.5</v>
      </c>
      <c r="K23" s="4">
        <f>IF(J23=IF(F23=0,1000000,F23*C23),C23,IF(J23=IF(G23=0,1000000,G23*ROUNDUP(C23,-1)),ROUNDUP(C23,-1),IF(J23=IF(H23=0,1000000,H23*ROUNDUP(C23,-2)),ROUNDUP(C23,-2),IF(J23=IF(I23=0,1000000,I23*ROUNDUP(C23,-3)),ROUNDUP(C23,-3),0))))</f>
        <v>1</v>
      </c>
      <c r="L23" s="3" t="s">
        <v>99</v>
      </c>
      <c r="M23" s="4"/>
      <c r="N23" s="4"/>
      <c r="P23" s="4"/>
      <c r="Q23" s="4"/>
      <c r="R23" s="4"/>
      <c r="AA23" s="4"/>
      <c r="AB23" s="4"/>
      <c r="AC23" s="4"/>
      <c r="AD23" s="14"/>
      <c r="AE23" s="7"/>
      <c r="AF23" s="4"/>
      <c r="AG23" s="4"/>
      <c r="AH23" s="4"/>
      <c r="AI23" s="4"/>
      <c r="AJ23" s="8"/>
      <c r="AK23" s="4"/>
      <c r="AL23" s="4"/>
      <c r="AM23" s="4"/>
      <c r="AN23" s="4"/>
    </row>
    <row r="24">
      <c r="A24" s="3" t="s">
        <v>100</v>
      </c>
      <c r="B24" s="3">
        <v>1</v>
      </c>
      <c r="C24" s="3">
        <f>B24*$C$1</f>
        <v>1</v>
      </c>
      <c r="D24" s="3" t="s">
        <v>101</v>
      </c>
      <c r="E24" s="7" t="s">
        <v>102</v>
      </c>
      <c r="F24" s="4">
        <v>2.52</v>
      </c>
      <c r="G24" s="4">
        <v>2.1440000000000001</v>
      </c>
      <c r="H24" s="4">
        <v>1.8218000000000001</v>
      </c>
      <c r="I24" s="4">
        <v>1.54857</v>
      </c>
      <c r="J24" s="8">
        <f>IF(MIN(IF(I24=0,1000000,I24*ROUNDUP(C24,-3)),IF(H24=0,1000000,H24*ROUNDUP(C24,-2)),IF(G24=0,1000000,G24*ROUNDUP(C24,-1)),IF(F24=0,1000000,F24*C24))=1000000,0,MIN(IF(I24=0,1000000,I24*ROUNDUP(C24,-3)),IF(H24=0,1000000,H24*ROUNDUP(C24,-2)),IF(G24=0,1000000,G24*ROUNDUP(C24,-1)),IF(F24=0,1000000,F24*C24)))</f>
        <v>2.52</v>
      </c>
      <c r="K24" s="4">
        <f>IF(J24=IF(F24=0,1000000,F24*C24),C24,IF(J24=IF(G24=0,1000000,G24*ROUNDUP(C24,-1)),ROUNDUP(C24,-1),IF(J24=IF(H24=0,1000000,H24*ROUNDUP(C24,-2)),ROUNDUP(C24,-2),IF(J24=IF(I24=0,1000000,I24*ROUNDUP(C24,-3)),ROUNDUP(C24,-3),0))))</f>
        <v>1</v>
      </c>
      <c r="L24" s="4" t="s">
        <v>103</v>
      </c>
      <c r="M24" s="4"/>
      <c r="N24" s="4"/>
      <c r="P24" s="4"/>
      <c r="Q24" s="4"/>
      <c r="R24" s="4"/>
      <c r="AA24" s="4"/>
      <c r="AB24" s="4"/>
      <c r="AC24" s="4"/>
      <c r="AD24" s="4"/>
      <c r="AE24" s="4"/>
      <c r="AF24" s="4"/>
      <c r="AG24" s="4"/>
      <c r="AH24" s="4"/>
      <c r="AI24" s="4"/>
      <c r="AJ24" s="8"/>
      <c r="AK24" s="4"/>
      <c r="AL24" s="4"/>
      <c r="AM24" s="4"/>
      <c r="AN24" s="4"/>
    </row>
    <row r="25">
      <c r="A25" s="3" t="s">
        <v>104</v>
      </c>
      <c r="B25" s="3">
        <v>1</v>
      </c>
      <c r="C25" s="3">
        <f>B25*$C$1</f>
        <v>1</v>
      </c>
      <c r="D25" s="3" t="s">
        <v>105</v>
      </c>
      <c r="E25" s="7" t="s">
        <v>106</v>
      </c>
      <c r="F25" s="4">
        <v>0.10000000000000001</v>
      </c>
      <c r="G25" s="4">
        <v>0.083000000000000004</v>
      </c>
      <c r="H25" s="4">
        <v>0.068099999999999994</v>
      </c>
      <c r="I25" s="4">
        <v>0.056009999999999997</v>
      </c>
      <c r="J25" s="8">
        <f>IF(MIN(IF(I25=0,1000000,I25*ROUNDUP(C25,-3)),IF(H25=0,1000000,H25*ROUNDUP(C25,-2)),IF(G25=0,1000000,G25*ROUNDUP(C25,-1)),IF(F25=0,1000000,F25*C25))=1000000,0,MIN(IF(I25=0,1000000,I25*ROUNDUP(C25,-3)),IF(H25=0,1000000,H25*ROUNDUP(C25,-2)),IF(G25=0,1000000,G25*ROUNDUP(C25,-1)),IF(F25=0,1000000,F25*C25)))</f>
        <v>0.10000000000000001</v>
      </c>
      <c r="K25" s="4">
        <f>IF(J25=IF(F25=0,1000000,F25*C25),C25,IF(J25=IF(G25=0,1000000,G25*ROUNDUP(C25,-1)),ROUNDUP(C25,-1),IF(J25=IF(H25=0,1000000,H25*ROUNDUP(C25,-2)),ROUNDUP(C25,-2),IF(J25=IF(I25=0,1000000,I25*ROUNDUP(C25,-3)),ROUNDUP(C25,-3),0))))</f>
        <v>1</v>
      </c>
      <c r="L25" s="4" t="s">
        <v>107</v>
      </c>
      <c r="M25" s="4"/>
      <c r="N25" s="4"/>
      <c r="P25" s="4"/>
      <c r="Q25" s="4"/>
      <c r="R25" s="4"/>
      <c r="AA25" s="4"/>
      <c r="AB25" s="4"/>
      <c r="AC25" s="4"/>
      <c r="AD25" s="23"/>
      <c r="AE25" s="7"/>
      <c r="AF25" s="4"/>
      <c r="AG25" s="4"/>
      <c r="AH25" s="4"/>
      <c r="AI25" s="4"/>
      <c r="AJ25" s="8"/>
      <c r="AK25" s="4"/>
      <c r="AL25" s="4"/>
      <c r="AM25" s="4"/>
      <c r="AN25" s="4"/>
    </row>
    <row r="26">
      <c r="A26" s="3" t="s">
        <v>108</v>
      </c>
      <c r="B26" s="3">
        <v>1</v>
      </c>
      <c r="C26" s="3">
        <f>B26*$C$1</f>
        <v>1</v>
      </c>
      <c r="D26" s="3" t="s">
        <v>109</v>
      </c>
      <c r="E26" s="24" t="s">
        <v>110</v>
      </c>
      <c r="F26" s="4">
        <v>0.10000000000000001</v>
      </c>
      <c r="G26" s="4">
        <v>0.058000000000000003</v>
      </c>
      <c r="H26" s="4">
        <v>0.050000000000000003</v>
      </c>
      <c r="I26" s="4">
        <v>0.045999999999999999</v>
      </c>
      <c r="J26" s="8">
        <f>IF(MIN(IF(I26=0,1000000,I26*ROUNDUP(C26,-3)),IF(H26=0,1000000,H26*ROUNDUP(C26,-2)),IF(G26=0,1000000,G26*ROUNDUP(C26,-1)),IF(F26=0,1000000,F26*C26))=1000000,0,MIN(IF(I26=0,1000000,I26*ROUNDUP(C26,-3)),IF(H26=0,1000000,H26*ROUNDUP(C26,-2)),IF(G26=0,1000000,G26*ROUNDUP(C26,-1)),IF(F26=0,1000000,F26*C26)))</f>
        <v>0.10000000000000001</v>
      </c>
      <c r="K26" s="4">
        <f>IF(J26=IF(F26=0,1000000,F26*C26),C26,IF(J26=IF(G26=0,1000000,G26*ROUNDUP(C26,-1)),ROUNDUP(C26,-1),IF(J26=IF(H26=0,1000000,H26*ROUNDUP(C26,-2)),ROUNDUP(C26,-2),IF(J26=IF(I26=0,1000000,I26*ROUNDUP(C26,-3)),ROUNDUP(C26,-3),0))))</f>
        <v>1</v>
      </c>
      <c r="L26" s="4" t="s">
        <v>111</v>
      </c>
      <c r="M26" s="4"/>
      <c r="N26" s="4"/>
      <c r="P26" s="4"/>
      <c r="Q26" s="4"/>
      <c r="R26" s="4"/>
      <c r="AA26" s="4"/>
      <c r="AB26" s="4"/>
      <c r="AC26" s="4"/>
      <c r="AD26" s="23"/>
      <c r="AE26" s="7"/>
      <c r="AF26" s="4"/>
      <c r="AG26" s="4"/>
      <c r="AH26" s="4"/>
      <c r="AI26" s="4"/>
      <c r="AJ26" s="8"/>
      <c r="AK26" s="4"/>
      <c r="AL26" s="4"/>
      <c r="AM26" s="4"/>
      <c r="AN26" s="4"/>
    </row>
    <row r="27">
      <c r="A27" s="3" t="s">
        <v>112</v>
      </c>
      <c r="B27" s="3">
        <v>1</v>
      </c>
      <c r="C27" s="3">
        <f>B27*$C$1</f>
        <v>1</v>
      </c>
      <c r="D27" s="3" t="s">
        <v>113</v>
      </c>
      <c r="E27" s="24" t="s">
        <v>114</v>
      </c>
      <c r="F27" s="4">
        <v>0.10000000000000001</v>
      </c>
      <c r="G27" s="4">
        <v>0.052999999999999999</v>
      </c>
      <c r="H27" s="4">
        <v>0.043200000000000002</v>
      </c>
      <c r="I27" s="4">
        <v>0.035529999999999999</v>
      </c>
      <c r="J27" s="8">
        <f>IF(MIN(IF(I27=0,1000000,I27*ROUNDUP(C27,-3)),IF(H27=0,1000000,H27*ROUNDUP(C27,-2)),IF(G27=0,1000000,G27*ROUNDUP(C27,-1)),IF(F27=0,1000000,F27*C27))=1000000,0,MIN(IF(I27=0,1000000,I27*ROUNDUP(C27,-3)),IF(H27=0,1000000,H27*ROUNDUP(C27,-2)),IF(G27=0,1000000,G27*ROUNDUP(C27,-1)),IF(F27=0,1000000,F27*C27)))</f>
        <v>0.10000000000000001</v>
      </c>
      <c r="K27" s="4">
        <f>IF(J27=IF(F27=0,1000000,F27*C27),C27,IF(J27=IF(G27=0,1000000,G27*ROUNDUP(C27,-1)),ROUNDUP(C27,-1),IF(J27=IF(H27=0,1000000,H27*ROUNDUP(C27,-2)),ROUNDUP(C27,-2),IF(J27=IF(I27=0,1000000,I27*ROUNDUP(C27,-3)),ROUNDUP(C27,-3),0))))</f>
        <v>1</v>
      </c>
      <c r="L27" s="4" t="s">
        <v>115</v>
      </c>
      <c r="M27" s="4"/>
      <c r="N27" s="4"/>
      <c r="P27" s="4"/>
      <c r="Q27" s="4"/>
      <c r="R27" s="4"/>
      <c r="AA27" s="4"/>
      <c r="AB27" s="4"/>
      <c r="AC27" s="4"/>
      <c r="AD27" s="25"/>
      <c r="AE27" s="7"/>
      <c r="AF27" s="4"/>
      <c r="AG27" s="4"/>
      <c r="AH27" s="4"/>
      <c r="AI27" s="4"/>
      <c r="AJ27" s="8"/>
      <c r="AK27" s="4"/>
      <c r="AL27" s="4"/>
      <c r="AM27" s="4"/>
      <c r="AN27" s="4"/>
    </row>
    <row r="28">
      <c r="A28" s="3" t="s">
        <v>116</v>
      </c>
      <c r="B28" s="3">
        <v>1</v>
      </c>
      <c r="C28" s="3">
        <f>B28*$C$1</f>
        <v>1</v>
      </c>
      <c r="D28" s="3" t="s">
        <v>117</v>
      </c>
      <c r="E28" s="24" t="s">
        <v>118</v>
      </c>
      <c r="F28" s="4">
        <v>0.10000000000000001</v>
      </c>
      <c r="G28" s="4">
        <v>0.058000000000000003</v>
      </c>
      <c r="H28" s="4">
        <v>0.049000000000000002</v>
      </c>
      <c r="I28" s="4">
        <v>0.045999999999999999</v>
      </c>
      <c r="J28" s="8">
        <f>IF(MIN(IF(I28=0,1000000,I28*ROUNDUP(C28,-3)),IF(H28=0,1000000,H28*ROUNDUP(C28,-2)),IF(G28=0,1000000,G28*ROUNDUP(C28,-1)),IF(F28=0,1000000,F28*C28))=1000000,0,MIN(IF(I28=0,1000000,I28*ROUNDUP(C28,-3)),IF(H28=0,1000000,H28*ROUNDUP(C28,-2)),IF(G28=0,1000000,G28*ROUNDUP(C28,-1)),IF(F28=0,1000000,F28*C28)))</f>
        <v>0.10000000000000001</v>
      </c>
      <c r="K28" s="4">
        <f>IF(J28=IF(F28=0,1000000,F28*C28),C28,IF(J28=IF(G28=0,1000000,G28*ROUNDUP(C28,-1)),ROUNDUP(C28,-1),IF(J28=IF(H28=0,1000000,H28*ROUNDUP(C28,-2)),ROUNDUP(C28,-2),IF(J28=IF(I28=0,1000000,I28*ROUNDUP(C28,-3)),ROUNDUP(C28,-3),0))))</f>
        <v>1</v>
      </c>
      <c r="L28" s="4" t="s">
        <v>119</v>
      </c>
      <c r="M28" s="4"/>
      <c r="N28" s="4"/>
      <c r="P28" s="4"/>
      <c r="Q28" s="4"/>
      <c r="R28" s="4"/>
      <c r="AA28" s="4"/>
      <c r="AB28" s="4"/>
      <c r="AC28" s="4"/>
      <c r="AD28" s="14"/>
      <c r="AE28" s="7"/>
      <c r="AF28" s="4"/>
      <c r="AG28" s="4"/>
      <c r="AH28" s="4"/>
      <c r="AI28" s="4"/>
      <c r="AJ28" s="8"/>
      <c r="AK28" s="4"/>
      <c r="AL28" s="4"/>
      <c r="AM28" s="4"/>
      <c r="AN28" s="4"/>
    </row>
    <row r="29">
      <c r="A29" s="3" t="s">
        <v>120</v>
      </c>
      <c r="B29" s="3">
        <v>1</v>
      </c>
      <c r="C29" s="3">
        <f>B29*$C$1</f>
        <v>1</v>
      </c>
      <c r="D29" s="3" t="s">
        <v>121</v>
      </c>
      <c r="E29" s="24" t="s">
        <v>122</v>
      </c>
      <c r="F29" s="4">
        <v>0.10000000000000001</v>
      </c>
      <c r="G29" s="4">
        <v>0.058000000000000003</v>
      </c>
      <c r="H29" s="4">
        <v>0.049000000000000002</v>
      </c>
      <c r="I29" s="4">
        <v>0.045999999999999999</v>
      </c>
      <c r="J29" s="8">
        <f>IF(MIN(IF(I29=0,1000000,I29*ROUNDUP(C29,-3)),IF(H29=0,1000000,H29*ROUNDUP(C29,-2)),IF(G29=0,1000000,G29*ROUNDUP(C29,-1)),IF(F29=0,1000000,F29*C29))=1000000,0,MIN(IF(I29=0,1000000,I29*ROUNDUP(C29,-3)),IF(H29=0,1000000,H29*ROUNDUP(C29,-2)),IF(G29=0,1000000,G29*ROUNDUP(C29,-1)),IF(F29=0,1000000,F29*C29)))</f>
        <v>0.10000000000000001</v>
      </c>
      <c r="K29" s="4">
        <f>IF(J29=IF(F29=0,1000000,F29*C29),C29,IF(J29=IF(G29=0,1000000,G29*ROUNDUP(C29,-1)),ROUNDUP(C29,-1),IF(J29=IF(H29=0,1000000,H29*ROUNDUP(C29,-2)),ROUNDUP(C29,-2),IF(J29=IF(I29=0,1000000,I29*ROUNDUP(C29,-3)),ROUNDUP(C29,-3),0))))</f>
        <v>1</v>
      </c>
      <c r="L29" s="4" t="s">
        <v>123</v>
      </c>
      <c r="M29" s="4"/>
      <c r="N29" s="4"/>
      <c r="P29" s="4"/>
      <c r="Q29" s="4"/>
      <c r="R29" s="4"/>
      <c r="AA29" s="4"/>
      <c r="AB29" s="4"/>
      <c r="AC29" s="4"/>
      <c r="AD29" s="26"/>
      <c r="AE29" s="7"/>
      <c r="AF29" s="4"/>
      <c r="AG29" s="4"/>
      <c r="AH29" s="4"/>
      <c r="AI29" s="4"/>
      <c r="AJ29" s="8"/>
      <c r="AK29" s="4"/>
      <c r="AL29" s="4"/>
      <c r="AM29" s="4"/>
      <c r="AN29" s="4"/>
    </row>
    <row r="30">
      <c r="A30" s="3" t="s">
        <v>124</v>
      </c>
      <c r="B30" s="3">
        <v>1</v>
      </c>
      <c r="C30" s="3">
        <f>B30*$C$1</f>
        <v>1</v>
      </c>
      <c r="D30" s="3" t="s">
        <v>125</v>
      </c>
      <c r="E30" s="7" t="s">
        <v>126</v>
      </c>
      <c r="F30" s="4">
        <v>0.10000000000000001</v>
      </c>
      <c r="G30" s="4">
        <v>0.012</v>
      </c>
      <c r="H30" s="4">
        <v>0.0076</v>
      </c>
      <c r="I30" s="4">
        <v>0.0049300000000000004</v>
      </c>
      <c r="J30" s="8">
        <f>IF(MIN(IF(I30=0,1000000,I30*ROUNDUP(C30,-3)),IF(H30=0,1000000,H30*ROUNDUP(C30,-2)),IF(G30=0,1000000,G30*ROUNDUP(C30,-1)),IF(F30=0,1000000,F30*C30))=1000000,0,MIN(IF(I30=0,1000000,I30*ROUNDUP(C30,-3)),IF(H30=0,1000000,H30*ROUNDUP(C30,-2)),IF(G30=0,1000000,G30*ROUNDUP(C30,-1)),IF(F30=0,1000000,F30*C30)))</f>
        <v>0.10000000000000001</v>
      </c>
      <c r="K30" s="4">
        <f>IF(J30=IF(F30=0,1000000,F30*C30),C30,IF(J30=IF(G30=0,1000000,G30*ROUNDUP(C30,-1)),ROUNDUP(C30,-1),IF(J30=IF(H30=0,1000000,H30*ROUNDUP(C30,-2)),ROUNDUP(C30,-2),IF(J30=IF(I30=0,1000000,I30*ROUNDUP(C30,-3)),ROUNDUP(C30,-3),0))))</f>
        <v>1</v>
      </c>
      <c r="L30" s="4" t="s">
        <v>127</v>
      </c>
      <c r="M30" s="4"/>
      <c r="N30" s="4"/>
      <c r="P30" s="4"/>
      <c r="Q30" s="4"/>
      <c r="R30" s="4"/>
      <c r="AA30" s="4"/>
      <c r="AB30" s="4"/>
      <c r="AC30" s="4"/>
      <c r="AD30" s="4"/>
      <c r="AE30" s="7"/>
      <c r="AF30" s="4"/>
      <c r="AG30" s="4"/>
      <c r="AH30" s="4"/>
      <c r="AI30" s="4"/>
      <c r="AJ30" s="8"/>
      <c r="AK30" s="4"/>
      <c r="AL30" s="4"/>
      <c r="AM30" s="4"/>
      <c r="AN30" s="4"/>
    </row>
    <row r="31">
      <c r="A31" s="3" t="s">
        <v>128</v>
      </c>
      <c r="B31" s="3">
        <v>1</v>
      </c>
      <c r="C31" s="3">
        <f>B31*$C$1</f>
        <v>1</v>
      </c>
      <c r="D31" s="3" t="s">
        <v>129</v>
      </c>
      <c r="E31" s="24" t="s">
        <v>130</v>
      </c>
      <c r="F31" s="4">
        <v>0.23999999999999999</v>
      </c>
      <c r="G31" s="4">
        <v>0.14399999999999999</v>
      </c>
      <c r="H31" s="4">
        <v>0.089499999999999996</v>
      </c>
      <c r="I31" s="4">
        <v>0.057660000000000003</v>
      </c>
      <c r="J31" s="8">
        <f>IF(MIN(IF(I31=0,1000000,I31*ROUNDUP(C31,-3)),IF(H31=0,1000000,H31*ROUNDUP(C31,-2)),IF(G31=0,1000000,G31*ROUNDUP(C31,-1)),IF(F31=0,1000000,F31*C31))=1000000,0,MIN(IF(I31=0,1000000,I31*ROUNDUP(C31,-3)),IF(H31=0,1000000,H31*ROUNDUP(C31,-2)),IF(G31=0,1000000,G31*ROUNDUP(C31,-1)),IF(F31=0,1000000,F31*C31)))</f>
        <v>0.23999999999999999</v>
      </c>
      <c r="K31" s="4">
        <f>IF(J31=IF(F31=0,1000000,F31*C31),C31,IF(J31=IF(G31=0,1000000,G31*ROUNDUP(C31,-1)),ROUNDUP(C31,-1),IF(J31=IF(H31=0,1000000,H31*ROUNDUP(C31,-2)),ROUNDUP(C31,-2),IF(J31=IF(I31=0,1000000,I31*ROUNDUP(C31,-3)),ROUNDUP(C31,-3),0))))</f>
        <v>1</v>
      </c>
      <c r="L31" s="4" t="s">
        <v>131</v>
      </c>
      <c r="M31" s="4"/>
      <c r="N31" s="4"/>
      <c r="AA31" s="4"/>
      <c r="AB31" s="4"/>
      <c r="AC31" s="4"/>
      <c r="AD31" s="27"/>
      <c r="AE31" s="7"/>
      <c r="AF31" s="4"/>
      <c r="AG31" s="4"/>
      <c r="AH31" s="4"/>
      <c r="AI31" s="4"/>
      <c r="AJ31" s="8"/>
      <c r="AK31" s="4"/>
      <c r="AL31" s="4"/>
      <c r="AM31" s="4"/>
      <c r="AN31" s="4"/>
    </row>
    <row r="32">
      <c r="A32" s="3" t="s">
        <v>132</v>
      </c>
      <c r="B32" s="3">
        <v>4</v>
      </c>
      <c r="C32" s="3">
        <f>B32*$C$1</f>
        <v>4</v>
      </c>
      <c r="D32" s="3" t="s">
        <v>133</v>
      </c>
      <c r="E32" s="7" t="s">
        <v>134</v>
      </c>
      <c r="F32" s="3">
        <v>0.10000000000000001</v>
      </c>
      <c r="G32" s="3">
        <v>0.57999999999999996</v>
      </c>
      <c r="H32" s="3">
        <v>0.0356</v>
      </c>
      <c r="I32" s="3">
        <v>0.0223</v>
      </c>
      <c r="J32" s="8">
        <f>IF(MIN(IF(I32=0,1000000,I32*ROUNDUP(C32,-3)),IF(H32=0,1000000,H32*ROUNDUP(C32,-2)),IF(G32=0,1000000,G32*ROUNDUP(C32,-1)),IF(F32=0,1000000,F32*C32))=1000000,0,MIN(IF(I32=0,1000000,I32*ROUNDUP(C32,-3)),IF(H32=0,1000000,H32*ROUNDUP(C32,-2)),IF(G32=0,1000000,G32*ROUNDUP(C32,-1)),IF(F32=0,1000000,F32*C32)))</f>
        <v>0.40000000000000002</v>
      </c>
      <c r="K32" s="4">
        <f>IF(J32=IF(F32=0,1000000,F32*C32),C32,IF(J32=IF(G32=0,1000000,G32*ROUNDUP(C32,-1)),ROUNDUP(C32,-1),IF(J32=IF(H32=0,1000000,H32*ROUNDUP(C32,-2)),ROUNDUP(C32,-2),IF(J32=IF(I32=0,1000000,I32*ROUNDUP(C32,-3)),ROUNDUP(C32,-3),0))))</f>
        <v>4</v>
      </c>
      <c r="L32" s="3" t="s">
        <v>135</v>
      </c>
      <c r="M32" s="4"/>
      <c r="N32" s="4"/>
      <c r="AA32" s="4"/>
      <c r="AB32" s="4"/>
      <c r="AC32" s="4"/>
      <c r="AD32" s="4"/>
      <c r="AE32" s="7"/>
      <c r="AF32" s="4"/>
      <c r="AG32" s="4"/>
      <c r="AH32" s="4"/>
      <c r="AI32" s="4"/>
      <c r="AJ32" s="8"/>
      <c r="AK32" s="4"/>
      <c r="AL32" s="4"/>
      <c r="AM32" s="4"/>
      <c r="AN32" s="4"/>
    </row>
    <row r="33">
      <c r="A33" s="3" t="s">
        <v>136</v>
      </c>
      <c r="B33" s="3">
        <v>4</v>
      </c>
      <c r="C33" s="3">
        <f>B33*$C$1</f>
        <v>4</v>
      </c>
      <c r="D33" s="3" t="s">
        <v>137</v>
      </c>
      <c r="E33" s="7" t="s">
        <v>138</v>
      </c>
      <c r="F33" s="4">
        <v>0.10000000000000001</v>
      </c>
      <c r="G33" s="4">
        <v>0.02</v>
      </c>
      <c r="H33" s="4">
        <v>0.0091000000000000004</v>
      </c>
      <c r="I33" s="4">
        <v>0.0047999999999999996</v>
      </c>
      <c r="J33" s="8">
        <f>IF(MIN(IF(I33=0,1000000,I33*ROUNDUP(C33,-3)),IF(H33=0,1000000,H33*ROUNDUP(C33,-2)),IF(G33=0,1000000,G33*ROUNDUP(C33,-1)),IF(F33=0,1000000,F33*C33))=1000000,0,MIN(IF(I33=0,1000000,I33*ROUNDUP(C33,-3)),IF(H33=0,1000000,H33*ROUNDUP(C33,-2)),IF(G33=0,1000000,G33*ROUNDUP(C33,-1)),IF(F33=0,1000000,F33*C33)))</f>
        <v>0.20000000000000001</v>
      </c>
      <c r="K33" s="4">
        <f>IF(J33=IF(F33=0,1000000,F33*C33),C33,IF(J33=IF(G33=0,1000000,G33*ROUNDUP(C33,-1)),ROUNDUP(C33,-1),IF(J33=IF(H33=0,1000000,H33*ROUNDUP(C33,-2)),ROUNDUP(C33,-2),IF(J33=IF(I33=0,1000000,I33*ROUNDUP(C33,-3)),ROUNDUP(C33,-3),0))))</f>
        <v>10</v>
      </c>
      <c r="L33" s="3" t="s">
        <v>139</v>
      </c>
      <c r="M33" s="4"/>
      <c r="N33" s="4"/>
      <c r="AA33" s="4"/>
      <c r="AB33" s="4"/>
      <c r="AC33" s="4"/>
      <c r="AD33" s="26"/>
      <c r="AE33" s="7"/>
      <c r="AF33" s="4"/>
      <c r="AG33" s="4"/>
      <c r="AH33" s="4"/>
      <c r="AI33" s="4"/>
      <c r="AJ33" s="8"/>
      <c r="AK33" s="4"/>
      <c r="AL33" s="4"/>
      <c r="AM33" s="4"/>
      <c r="AN33" s="4"/>
    </row>
    <row r="34">
      <c r="A34" s="3" t="s">
        <v>140</v>
      </c>
      <c r="B34" s="3">
        <v>8</v>
      </c>
      <c r="C34" s="3">
        <f>B34*$C$1</f>
        <v>8</v>
      </c>
      <c r="D34" s="3" t="s">
        <v>141</v>
      </c>
      <c r="E34" s="7" t="s">
        <v>142</v>
      </c>
      <c r="F34" s="4">
        <v>0.10000000000000001</v>
      </c>
      <c r="G34" s="4">
        <v>0.019</v>
      </c>
      <c r="H34" s="4">
        <v>0.0086</v>
      </c>
      <c r="I34" s="4">
        <v>0.0044799999999999996</v>
      </c>
      <c r="J34" s="8">
        <f>IF(MIN(IF(I34=0,1000000,I34*ROUNDUP(C34,-3)),IF(H34=0,1000000,H34*ROUNDUP(C34,-2)),IF(G34=0,1000000,G34*ROUNDUP(C34,-1)),IF(F34=0,1000000,F34*C34))=1000000,0,MIN(IF(I34=0,1000000,I34*ROUNDUP(C34,-3)),IF(H34=0,1000000,H34*ROUNDUP(C34,-2)),IF(G34=0,1000000,G34*ROUNDUP(C34,-1)),IF(F34=0,1000000,F34*C34)))</f>
        <v>0.19</v>
      </c>
      <c r="K34" s="4">
        <f>IF(J34=IF(F34=0,1000000,F34*C34),C34,IF(J34=IF(G34=0,1000000,G34*ROUNDUP(C34,-1)),ROUNDUP(C34,-1),IF(J34=IF(H34=0,1000000,H34*ROUNDUP(C34,-2)),ROUNDUP(C34,-2),IF(J34=IF(I34=0,1000000,I34*ROUNDUP(C34,-3)),ROUNDUP(C34,-3),0))))</f>
        <v>10</v>
      </c>
      <c r="L34" s="3" t="s">
        <v>143</v>
      </c>
      <c r="M34" s="4"/>
      <c r="N34" s="4"/>
      <c r="AA34" s="4"/>
      <c r="AB34" s="4"/>
      <c r="AC34" s="4"/>
      <c r="AD34" s="26"/>
      <c r="AE34" s="7"/>
      <c r="AF34" s="4"/>
      <c r="AG34" s="4"/>
      <c r="AH34" s="4"/>
      <c r="AI34" s="4"/>
      <c r="AJ34" s="8"/>
      <c r="AK34" s="4"/>
      <c r="AL34" s="4"/>
      <c r="AM34" s="4"/>
      <c r="AN34" s="4"/>
    </row>
    <row r="35">
      <c r="A35" s="3" t="s">
        <v>144</v>
      </c>
      <c r="B35" s="3">
        <v>7</v>
      </c>
      <c r="C35" s="3">
        <f>B35*$C$1</f>
        <v>7</v>
      </c>
      <c r="D35" s="3" t="s">
        <v>145</v>
      </c>
      <c r="E35" s="7" t="s">
        <v>146</v>
      </c>
      <c r="F35" s="4">
        <v>0.10000000000000001</v>
      </c>
      <c r="G35" s="4">
        <v>0.089999999999999997</v>
      </c>
      <c r="H35" s="4">
        <v>0.0082000000000000007</v>
      </c>
      <c r="I35" s="4">
        <v>0.0051000000000000004</v>
      </c>
      <c r="J35" s="8">
        <f>IF(MIN(IF(I35=0,1000000,I35*ROUNDUP(C35,-3)),IF(H35=0,1000000,H35*ROUNDUP(C35,-2)),IF(G35=0,1000000,G35*ROUNDUP(C35,-1)),IF(F35=0,1000000,F35*C35))=1000000,0,MIN(IF(I35=0,1000000,I35*ROUNDUP(C35,-3)),IF(H35=0,1000000,H35*ROUNDUP(C35,-2)),IF(G35=0,1000000,G35*ROUNDUP(C35,-1)),IF(F35=0,1000000,F35*C35)))</f>
        <v>0.70000000000000007</v>
      </c>
      <c r="K35" s="4">
        <f>IF(J35=IF(F35=0,1000000,F35*C35),C35,IF(J35=IF(G35=0,1000000,G35*ROUNDUP(C35,-1)),ROUNDUP(C35,-1),IF(J35=IF(H35=0,1000000,H35*ROUNDUP(C35,-2)),ROUNDUP(C35,-2),IF(J35=IF(I35=0,1000000,I35*ROUNDUP(C35,-3)),ROUNDUP(C35,-3),0))))</f>
        <v>7</v>
      </c>
      <c r="L35" s="3" t="s">
        <v>147</v>
      </c>
      <c r="M35" s="4"/>
      <c r="N35" s="4"/>
      <c r="AA35" s="4"/>
      <c r="AB35" s="4"/>
      <c r="AC35" s="4"/>
      <c r="AD35" s="4"/>
      <c r="AE35" s="7"/>
      <c r="AF35" s="4"/>
      <c r="AG35" s="4"/>
      <c r="AH35" s="4"/>
      <c r="AI35" s="4"/>
      <c r="AJ35" s="8"/>
      <c r="AK35" s="4"/>
      <c r="AL35" s="4"/>
      <c r="AM35" s="4"/>
      <c r="AN35" s="4"/>
    </row>
    <row r="36">
      <c r="A36" s="3" t="s">
        <v>148</v>
      </c>
      <c r="B36" s="3">
        <v>6</v>
      </c>
      <c r="C36" s="3">
        <f>B36*$C$1</f>
        <v>6</v>
      </c>
      <c r="D36" s="28">
        <v>500</v>
      </c>
      <c r="E36" s="7" t="s">
        <v>149</v>
      </c>
      <c r="F36" s="4">
        <v>0.10000000000000001</v>
      </c>
      <c r="G36" s="4">
        <v>0.064000000000000001</v>
      </c>
      <c r="H36" s="4">
        <v>0.0533</v>
      </c>
      <c r="I36" s="4">
        <v>0.044319999999999998</v>
      </c>
      <c r="J36" s="8">
        <f>IF(MIN(IF(I36=0,1000000,I36*ROUNDUP(C36,-3)),IF(H36=0,1000000,H36*ROUNDUP(C36,-2)),IF(G36=0,1000000,G36*ROUNDUP(C36,-1)),IF(F36=0,1000000,F36*C36))=1000000,0,MIN(IF(I36=0,1000000,I36*ROUNDUP(C36,-3)),IF(H36=0,1000000,H36*ROUNDUP(C36,-2)),IF(G36=0,1000000,G36*ROUNDUP(C36,-1)),IF(F36=0,1000000,F36*C36)))</f>
        <v>0.60000000000000009</v>
      </c>
      <c r="K36" s="4">
        <f>IF(J36=IF(F36=0,1000000,F36*C36),C36,IF(J36=IF(G36=0,1000000,G36*ROUNDUP(C36,-1)),ROUNDUP(C36,-1),IF(J36=IF(H36=0,1000000,H36*ROUNDUP(C36,-2)),ROUNDUP(C36,-2),IF(J36=IF(I36=0,1000000,I36*ROUNDUP(C36,-3)),ROUNDUP(C36,-3),0))))</f>
        <v>6</v>
      </c>
      <c r="L36" s="3" t="s">
        <v>150</v>
      </c>
      <c r="M36" s="4"/>
      <c r="N36" s="4"/>
      <c r="AA36" s="4"/>
      <c r="AB36" s="4"/>
      <c r="AC36" s="4"/>
      <c r="AD36" s="29"/>
      <c r="AE36" s="7"/>
      <c r="AF36" s="4"/>
      <c r="AG36" s="4"/>
      <c r="AH36" s="4"/>
      <c r="AI36" s="4"/>
      <c r="AJ36" s="8"/>
      <c r="AK36" s="4"/>
      <c r="AL36" s="4"/>
      <c r="AM36" s="4"/>
      <c r="AN36" s="4"/>
    </row>
    <row r="37">
      <c r="A37" s="3" t="s">
        <v>151</v>
      </c>
      <c r="B37" s="3">
        <v>3</v>
      </c>
      <c r="C37" s="3">
        <f>B37*$C$1</f>
        <v>3</v>
      </c>
      <c r="D37" s="3" t="s">
        <v>152</v>
      </c>
      <c r="E37" s="7" t="s">
        <v>153</v>
      </c>
      <c r="F37" s="4">
        <v>0.10000000000000001</v>
      </c>
      <c r="G37" s="4">
        <v>0.060999999999999999</v>
      </c>
      <c r="H37" s="4">
        <v>0.050599999999999999</v>
      </c>
      <c r="I37" s="4">
        <v>0.04206</v>
      </c>
      <c r="J37" s="8">
        <f>IF(MIN(IF(I37=0,1000000,I37*ROUNDUP(C37,-3)),IF(H37=0,1000000,H37*ROUNDUP(C37,-2)),IF(G37=0,1000000,G37*ROUNDUP(C37,-1)),IF(F37=0,1000000,F37*C37))=1000000,0,MIN(IF(I37=0,1000000,I37*ROUNDUP(C37,-3)),IF(H37=0,1000000,H37*ROUNDUP(C37,-2)),IF(G37=0,1000000,G37*ROUNDUP(C37,-1)),IF(F37=0,1000000,F37*C37)))</f>
        <v>0.30000000000000004</v>
      </c>
      <c r="K37" s="4">
        <f>IF(J37=IF(F37=0,1000000,F37*C37),C37,IF(J37=IF(G37=0,1000000,G37*ROUNDUP(C37,-1)),ROUNDUP(C37,-1),IF(J37=IF(H37=0,1000000,H37*ROUNDUP(C37,-2)),ROUNDUP(C37,-2),IF(J37=IF(I37=0,1000000,I37*ROUNDUP(C37,-3)),ROUNDUP(C37,-3),0))))</f>
        <v>3</v>
      </c>
      <c r="L37" s="22" t="s">
        <v>154</v>
      </c>
      <c r="M37" s="4"/>
      <c r="N37" s="4"/>
      <c r="AA37" s="4"/>
      <c r="AB37" s="4"/>
      <c r="AC37" s="4"/>
      <c r="AD37" s="4"/>
      <c r="AE37" s="7"/>
      <c r="AF37" s="4"/>
      <c r="AG37" s="4"/>
      <c r="AH37" s="4"/>
      <c r="AI37" s="4"/>
      <c r="AJ37" s="8"/>
      <c r="AK37" s="4"/>
      <c r="AL37" s="4"/>
      <c r="AM37" s="4"/>
      <c r="AN37" s="4"/>
    </row>
    <row r="38">
      <c r="A38" s="3" t="s">
        <v>155</v>
      </c>
      <c r="B38" s="3">
        <v>2</v>
      </c>
      <c r="C38" s="3">
        <f>B38*$C$1</f>
        <v>2</v>
      </c>
      <c r="D38" s="3" t="s">
        <v>156</v>
      </c>
      <c r="E38" s="7" t="s">
        <v>157</v>
      </c>
      <c r="F38" s="4">
        <v>0.40999999999999998</v>
      </c>
      <c r="G38" s="4">
        <v>0.35199999999999998</v>
      </c>
      <c r="H38" s="4">
        <v>0.29399999999999998</v>
      </c>
      <c r="I38" s="4">
        <v>0.24282999999999999</v>
      </c>
      <c r="J38" s="8">
        <f>IF(MIN(IF(I38=0,1000000,I38*ROUNDUP(C38,-3)),IF(H38=0,1000000,H38*ROUNDUP(C38,-2)),IF(G38=0,1000000,G38*ROUNDUP(C38,-1)),IF(F38=0,1000000,F38*C38))=1000000,0,MIN(IF(I38=0,1000000,I38*ROUNDUP(C38,-3)),IF(H38=0,1000000,H38*ROUNDUP(C38,-2)),IF(G38=0,1000000,G38*ROUNDUP(C38,-1)),IF(F38=0,1000000,F38*C38)))</f>
        <v>0.81999999999999995</v>
      </c>
      <c r="K38" s="4">
        <f>IF(J38=IF(F38=0,1000000,F38*C38),C38,IF(J38=IF(G38=0,1000000,G38*ROUNDUP(C38,-1)),ROUNDUP(C38,-1),IF(J38=IF(H38=0,1000000,H38*ROUNDUP(C38,-2)),ROUNDUP(C38,-2),IF(J38=IF(I38=0,1000000,I38*ROUNDUP(C38,-3)),ROUNDUP(C38,-3),0))))</f>
        <v>2</v>
      </c>
      <c r="L38" s="4" t="s">
        <v>158</v>
      </c>
      <c r="M38" s="4"/>
      <c r="N38" s="4"/>
      <c r="AA38" s="4"/>
      <c r="AB38" s="4"/>
      <c r="AC38" s="4"/>
      <c r="AD38" s="4"/>
      <c r="AE38" s="7"/>
      <c r="AF38" s="4"/>
      <c r="AG38" s="4"/>
      <c r="AH38" s="4"/>
      <c r="AI38" s="4"/>
      <c r="AJ38" s="8"/>
      <c r="AK38" s="4"/>
      <c r="AL38" s="4"/>
      <c r="AM38" s="4"/>
      <c r="AN38" s="4"/>
    </row>
    <row r="39">
      <c r="A39" s="3" t="s">
        <v>159</v>
      </c>
      <c r="B39" s="3">
        <v>1</v>
      </c>
      <c r="C39" s="3">
        <f>B39*$C$1</f>
        <v>1</v>
      </c>
      <c r="D39" s="3" t="s">
        <v>160</v>
      </c>
      <c r="E39" s="7" t="s">
        <v>161</v>
      </c>
      <c r="F39" s="4">
        <v>1.3799999999999999</v>
      </c>
      <c r="G39" s="4">
        <v>1.0069999999999999</v>
      </c>
      <c r="H39" s="4">
        <v>0.80930000000000002</v>
      </c>
      <c r="I39" s="4">
        <v>0.70565</v>
      </c>
      <c r="J39" s="8">
        <f>IF(MIN(IF(I39=0,1000000,I39*ROUNDUP(C39,-3)),IF(H39=0,1000000,H39*ROUNDUP(C39,-2)),IF(G39=0,1000000,G39*ROUNDUP(C39,-1)),IF(F39=0,1000000,F39*C39))=1000000,0,MIN(IF(I39=0,1000000,I39*ROUNDUP(C39,-3)),IF(H39=0,1000000,H39*ROUNDUP(C39,-2)),IF(G39=0,1000000,G39*ROUNDUP(C39,-1)),IF(F39=0,1000000,F39*C39)))</f>
        <v>1.3799999999999999</v>
      </c>
      <c r="K39" s="4">
        <f>IF(J39=IF(F39=0,1000000,F39*C39),C39,IF(J39=IF(G39=0,1000000,G39*ROUNDUP(C39,-1)),ROUNDUP(C39,-1),IF(J39=IF(H39=0,1000000,H39*ROUNDUP(C39,-2)),ROUNDUP(C39,-2),IF(J39=IF(I39=0,1000000,I39*ROUNDUP(C39,-3)),ROUNDUP(C39,-3),0))))</f>
        <v>1</v>
      </c>
      <c r="L39" s="3" t="s">
        <v>162</v>
      </c>
      <c r="M39" s="4"/>
      <c r="N39" s="4"/>
      <c r="AA39" s="4"/>
      <c r="AB39" s="4"/>
      <c r="AC39" s="4"/>
      <c r="AD39" s="4"/>
      <c r="AE39" s="7"/>
      <c r="AF39" s="4"/>
      <c r="AG39" s="4"/>
      <c r="AH39" s="4"/>
      <c r="AI39" s="4"/>
      <c r="AJ39" s="8"/>
      <c r="AK39" s="4"/>
      <c r="AL39" s="4"/>
      <c r="AM39" s="4"/>
      <c r="AN39" s="4"/>
    </row>
    <row r="40">
      <c r="A40" s="3" t="s">
        <v>163</v>
      </c>
      <c r="B40" s="3">
        <v>1</v>
      </c>
      <c r="C40" s="3">
        <f>B40*$C$1</f>
        <v>1</v>
      </c>
      <c r="D40" s="3" t="s">
        <v>164</v>
      </c>
      <c r="E40" s="7" t="s">
        <v>165</v>
      </c>
      <c r="F40" s="4">
        <v>8.6099999999999994</v>
      </c>
      <c r="G40" s="4">
        <v>6.6849999999999996</v>
      </c>
      <c r="H40" s="4"/>
      <c r="I40" s="4"/>
      <c r="J40" s="8">
        <f>IF(MIN(IF(I40=0,1000000,I40*ROUNDUP(C40,-3)),IF(H40=0,1000000,H40*ROUNDUP(C40,-2)),IF(G40=0,1000000,G40*ROUNDUP(C40,-1)),IF(F40=0,1000000,F40*C40))=1000000,0,MIN(IF(I40=0,1000000,I40*ROUNDUP(C40,-3)),IF(H40=0,1000000,H40*ROUNDUP(C40,-2)),IF(G40=0,1000000,G40*ROUNDUP(C40,-1)),IF(F40=0,1000000,F40*C40)))</f>
        <v>8.6099999999999994</v>
      </c>
      <c r="K40" s="4">
        <f>IF(J40=IF(F40=0,1000000,F40*C40),C40,IF(J40=IF(G40=0,1000000,G40*ROUNDUP(C40,-1)),ROUNDUP(C40,-1),IF(J40=IF(H40=0,1000000,H40*ROUNDUP(C40,-2)),ROUNDUP(C40,-2),IF(J40=IF(I40=0,1000000,I40*ROUNDUP(C40,-3)),ROUNDUP(C40,-3),0))))</f>
        <v>1</v>
      </c>
      <c r="L40" s="3" t="s">
        <v>166</v>
      </c>
      <c r="M40" s="4"/>
      <c r="N40" s="4"/>
      <c r="AA40" s="4"/>
      <c r="AB40" s="4"/>
      <c r="AC40" s="4"/>
      <c r="AD40" s="4"/>
      <c r="AE40" s="7"/>
      <c r="AF40" s="4"/>
      <c r="AG40" s="4"/>
      <c r="AH40" s="4"/>
      <c r="AI40" s="4"/>
      <c r="AJ40" s="8"/>
      <c r="AK40" s="4"/>
      <c r="AL40" s="4"/>
      <c r="AM40" s="4"/>
      <c r="AN40" s="4"/>
    </row>
    <row r="41">
      <c r="A41" s="3" t="s">
        <v>167</v>
      </c>
      <c r="B41" s="3">
        <v>1</v>
      </c>
      <c r="C41" s="3">
        <f>B41*$C$1</f>
        <v>1</v>
      </c>
      <c r="D41" s="3" t="s">
        <v>168</v>
      </c>
      <c r="E41" s="7" t="s">
        <v>169</v>
      </c>
      <c r="F41" s="4">
        <v>1.53</v>
      </c>
      <c r="G41" s="4">
        <v>1.431</v>
      </c>
      <c r="H41" s="4">
        <v>1.3285</v>
      </c>
      <c r="I41" s="4">
        <v>1.2256800000000001</v>
      </c>
      <c r="J41" s="8">
        <f>IF(MIN(IF(I41=0,1000000,I41*ROUNDUP(C41,-3)),IF(H41=0,1000000,H41*ROUNDUP(C41,-2)),IF(G41=0,1000000,G41*ROUNDUP(C41,-1)),IF(F41=0,1000000,F41*C41))=1000000,0,MIN(IF(I41=0,1000000,I41*ROUNDUP(C41,-3)),IF(H41=0,1000000,H41*ROUNDUP(C41,-2)),IF(G41=0,1000000,G41*ROUNDUP(C41,-1)),IF(F41=0,1000000,F41*C41)))</f>
        <v>1.53</v>
      </c>
      <c r="K41" s="4">
        <f>IF(J41=IF(F41=0,1000000,F41*C41),C41,IF(J41=IF(G41=0,1000000,G41*ROUNDUP(C41,-1)),ROUNDUP(C41,-1),IF(J41=IF(H41=0,1000000,H41*ROUNDUP(C41,-2)),ROUNDUP(C41,-2),IF(J41=IF(I41=0,1000000,I41*ROUNDUP(C41,-3)),ROUNDUP(C41,-3),0))))</f>
        <v>1</v>
      </c>
      <c r="L41" s="3" t="s">
        <v>170</v>
      </c>
      <c r="M41" s="4"/>
      <c r="N41" s="4"/>
      <c r="AA41" s="4"/>
      <c r="AB41" s="4"/>
      <c r="AC41" s="4"/>
      <c r="AD41" s="4"/>
      <c r="AE41" s="7"/>
      <c r="AF41" s="4"/>
      <c r="AG41" s="4"/>
      <c r="AH41" s="4"/>
      <c r="AI41" s="4"/>
      <c r="AJ41" s="8"/>
      <c r="AK41" s="4"/>
      <c r="AL41" s="4"/>
      <c r="AM41" s="4"/>
      <c r="AN41" s="4"/>
    </row>
    <row r="42">
      <c r="A42" s="3" t="s">
        <v>171</v>
      </c>
      <c r="B42" s="3">
        <v>1</v>
      </c>
      <c r="C42" s="3">
        <f>B42*$C$1</f>
        <v>1</v>
      </c>
      <c r="D42" s="3" t="s">
        <v>172</v>
      </c>
      <c r="E42" s="7" t="s">
        <v>173</v>
      </c>
      <c r="F42" s="4">
        <v>31.5</v>
      </c>
      <c r="G42" s="4">
        <v>25.91</v>
      </c>
      <c r="H42" s="4">
        <v>20.853899999999999</v>
      </c>
      <c r="I42" s="4"/>
      <c r="J42" s="8">
        <f>IF(MIN(IF(I42=0,1000000,I42*ROUNDUP(C42,-3)),IF(H42=0,1000000,H42*ROUNDUP(C42,-2)),IF(G42=0,1000000,G42*ROUNDUP(C42,-1)),IF(F42=0,1000000,F42*C42))=1000000,0,MIN(IF(I42=0,1000000,I42*ROUNDUP(C42,-3)),IF(H42=0,1000000,H42*ROUNDUP(C42,-2)),IF(G42=0,1000000,G42*ROUNDUP(C42,-1)),IF(F42=0,1000000,F42*C42)))</f>
        <v>31.5</v>
      </c>
      <c r="K42" s="4">
        <f>IF(J42=IF(F42=0,1000000,F42*C42),C42,IF(J42=IF(G42=0,1000000,G42*ROUNDUP(C42,-1)),ROUNDUP(C42,-1),IF(J42=IF(H42=0,1000000,H42*ROUNDUP(C42,-2)),ROUNDUP(C42,-2),IF(J42=IF(I42=0,1000000,I42*ROUNDUP(C42,-3)),ROUNDUP(C42,-3),0))))</f>
        <v>1</v>
      </c>
      <c r="L42" s="3" t="s">
        <v>174</v>
      </c>
      <c r="M42" s="4"/>
      <c r="N42" s="4"/>
      <c r="AA42" s="4"/>
      <c r="AB42" s="4"/>
      <c r="AC42" s="4"/>
      <c r="AD42" s="4"/>
      <c r="AE42" s="7"/>
      <c r="AF42" s="4"/>
      <c r="AG42" s="4"/>
      <c r="AH42" s="4"/>
      <c r="AI42" s="4"/>
      <c r="AJ42" s="8"/>
      <c r="AK42" s="4"/>
      <c r="AL42" s="4"/>
      <c r="AM42" s="4"/>
      <c r="AN42" s="4"/>
    </row>
    <row r="43">
      <c r="A43" s="3" t="s">
        <v>175</v>
      </c>
      <c r="B43" s="3">
        <v>1</v>
      </c>
      <c r="C43" s="3">
        <f>B43*$C$1</f>
        <v>1</v>
      </c>
      <c r="D43" s="3" t="s">
        <v>176</v>
      </c>
      <c r="E43" s="7" t="s">
        <v>177</v>
      </c>
      <c r="F43" s="4">
        <v>7.2599999999999998</v>
      </c>
      <c r="G43" s="4">
        <v>6.282</v>
      </c>
      <c r="H43" s="4">
        <v>5.9656000000000002</v>
      </c>
      <c r="I43" s="4">
        <v>5.5507999999999997</v>
      </c>
      <c r="J43" s="8">
        <f>IF(MIN(IF(I43=0,1000000,I43*ROUNDUP(C43,-3)),IF(H43=0,1000000,H43*ROUNDUP(C43,-2)),IF(G43=0,1000000,G43*ROUNDUP(C43,-1)),IF(F43=0,1000000,F43*C43))=1000000,0,MIN(IF(I43=0,1000000,I43*ROUNDUP(C43,-3)),IF(H43=0,1000000,H43*ROUNDUP(C43,-2)),IF(G43=0,1000000,G43*ROUNDUP(C43,-1)),IF(F43=0,1000000,F43*C43)))</f>
        <v>7.2599999999999998</v>
      </c>
      <c r="K43" s="4">
        <f>IF(J43=IF(F43=0,1000000,F43*C43),C43,IF(J43=IF(G43=0,1000000,G43*ROUNDUP(C43,-1)),ROUNDUP(C43,-1),IF(J43=IF(H43=0,1000000,H43*ROUNDUP(C43,-2)),ROUNDUP(C43,-2),IF(J43=IF(I43=0,1000000,I43*ROUNDUP(C43,-3)),ROUNDUP(C43,-3),0))))</f>
        <v>1</v>
      </c>
      <c r="L43" s="3" t="s">
        <v>178</v>
      </c>
      <c r="M43" s="4"/>
      <c r="N43" s="4"/>
      <c r="AA43" s="4"/>
      <c r="AB43" s="4"/>
      <c r="AC43" s="4"/>
      <c r="AD43" s="4"/>
      <c r="AE43" s="7"/>
      <c r="AF43" s="4"/>
      <c r="AG43" s="4"/>
      <c r="AH43" s="4"/>
      <c r="AI43" s="4"/>
      <c r="AJ43" s="8"/>
      <c r="AK43" s="4"/>
      <c r="AL43" s="4"/>
      <c r="AM43" s="4"/>
      <c r="AN43" s="4"/>
    </row>
    <row r="44">
      <c r="A44" s="3" t="s">
        <v>179</v>
      </c>
      <c r="B44" s="3">
        <v>1</v>
      </c>
      <c r="C44" s="3">
        <f>B44*$C$1</f>
        <v>1</v>
      </c>
      <c r="D44" s="3" t="s">
        <v>180</v>
      </c>
      <c r="E44" s="7" t="s">
        <v>181</v>
      </c>
      <c r="F44" s="4">
        <v>0.95999999999999996</v>
      </c>
      <c r="G44" s="4">
        <v>0.81000000000000005</v>
      </c>
      <c r="H44" s="4">
        <v>0.68359999999999999</v>
      </c>
      <c r="I44" s="4">
        <v>0.59601000000000004</v>
      </c>
      <c r="J44" s="8">
        <f>IF(MIN(IF(I44=0,1000000,I44*ROUNDUP(C44,-3)),IF(H44=0,1000000,H44*ROUNDUP(C44,-2)),IF(G44=0,1000000,G44*ROUNDUP(C44,-1)),IF(F44=0,1000000,F44*C44))=1000000,0,MIN(IF(I44=0,1000000,I44*ROUNDUP(C44,-3)),IF(H44=0,1000000,H44*ROUNDUP(C44,-2)),IF(G44=0,1000000,G44*ROUNDUP(C44,-1)),IF(F44=0,1000000,F44*C44)))</f>
        <v>0.95999999999999996</v>
      </c>
      <c r="K44" s="4">
        <f>IF(J44=IF(F44=0,1000000,F44*C44),C44,IF(J44=IF(G44=0,1000000,G44*ROUNDUP(C44,-1)),ROUNDUP(C44,-1),IF(J44=IF(H44=0,1000000,H44*ROUNDUP(C44,-2)),ROUNDUP(C44,-2),IF(J44=IF(I44=0,1000000,I44*ROUNDUP(C44,-3)),ROUNDUP(C44,-3),0))))</f>
        <v>1</v>
      </c>
      <c r="L44" s="3" t="s">
        <v>182</v>
      </c>
      <c r="M44" s="4"/>
      <c r="N44" s="4"/>
      <c r="AA44" s="4"/>
      <c r="AB44" s="4"/>
      <c r="AC44" s="4"/>
      <c r="AD44" s="4"/>
      <c r="AE44" s="7"/>
      <c r="AF44" s="4"/>
      <c r="AG44" s="4"/>
      <c r="AH44" s="4"/>
      <c r="AI44" s="4"/>
      <c r="AJ44" s="8"/>
      <c r="AK44" s="4"/>
      <c r="AL44" s="4"/>
      <c r="AM44" s="4"/>
      <c r="AN44" s="4"/>
    </row>
    <row r="45">
      <c r="A45" s="3" t="s">
        <v>183</v>
      </c>
      <c r="B45" s="3">
        <v>1</v>
      </c>
      <c r="C45" s="3">
        <f>B45*$C$1</f>
        <v>1</v>
      </c>
      <c r="D45" s="3" t="s">
        <v>184</v>
      </c>
      <c r="E45" s="7" t="s">
        <v>185</v>
      </c>
      <c r="F45" s="4">
        <v>8.7200000000000006</v>
      </c>
      <c r="G45" s="4">
        <v>7.5700000000000003</v>
      </c>
      <c r="H45" s="4">
        <v>6.7085999999999997</v>
      </c>
      <c r="I45" s="4">
        <v>6.0628700000000002</v>
      </c>
      <c r="J45" s="8">
        <f>IF(MIN(IF(I45=0,1000000,I45*ROUNDUP(C45,-3)),IF(H45=0,1000000,H45*ROUNDUP(C45,-2)),IF(G45=0,1000000,G45*ROUNDUP(C45,-1)),IF(F45=0,1000000,F45*C45))=1000000,0,MIN(IF(I45=0,1000000,I45*ROUNDUP(C45,-3)),IF(H45=0,1000000,H45*ROUNDUP(C45,-2)),IF(G45=0,1000000,G45*ROUNDUP(C45,-1)),IF(F45=0,1000000,F45*C45)))</f>
        <v>8.7200000000000006</v>
      </c>
      <c r="K45" s="4">
        <f>IF(J45=IF(F45=0,1000000,F45*C45),C45,IF(J45=IF(G45=0,1000000,G45*ROUNDUP(C45,-1)),ROUNDUP(C45,-1),IF(J45=IF(H45=0,1000000,H45*ROUNDUP(C45,-2)),ROUNDUP(C45,-2),IF(J45=IF(I45=0,1000000,I45*ROUNDUP(C45,-3)),ROUNDUP(C45,-3),0))))</f>
        <v>1</v>
      </c>
      <c r="L45" s="3" t="s">
        <v>186</v>
      </c>
      <c r="M45" s="4"/>
      <c r="N45" s="4"/>
      <c r="AA45" s="4"/>
      <c r="AB45" s="4"/>
      <c r="AC45" s="4"/>
      <c r="AD45" s="4"/>
      <c r="AE45" s="7"/>
      <c r="AF45" s="4"/>
      <c r="AG45" s="4"/>
      <c r="AH45" s="4"/>
      <c r="AI45" s="4"/>
      <c r="AJ45" s="8"/>
      <c r="AK45" s="4"/>
      <c r="AL45" s="4"/>
      <c r="AM45" s="4"/>
      <c r="AN45" s="4"/>
    </row>
    <row r="46">
      <c r="A46" s="3" t="s">
        <v>187</v>
      </c>
      <c r="B46" s="3">
        <v>1</v>
      </c>
      <c r="C46" s="3">
        <f>B46*$C$1</f>
        <v>1</v>
      </c>
      <c r="D46" s="3" t="s">
        <v>188</v>
      </c>
      <c r="E46" s="24" t="s">
        <v>189</v>
      </c>
      <c r="F46" s="4">
        <v>8.5299999999999994</v>
      </c>
      <c r="G46" s="4">
        <v>7.4009999999999998</v>
      </c>
      <c r="H46" s="4">
        <v>6.4678000000000004</v>
      </c>
      <c r="I46" s="4">
        <v>5.7009999999999996</v>
      </c>
      <c r="J46" s="8">
        <f>IF(MIN(IF(I46=0,1000000,I46*ROUNDUP(C46,-3)),IF(H46=0,1000000,H46*ROUNDUP(C46,-2)),IF(G46=0,1000000,G46*ROUNDUP(C46,-1)),IF(F46=0,1000000,F46*C46))=1000000,0,MIN(IF(I46=0,1000000,I46*ROUNDUP(C46,-3)),IF(H46=0,1000000,H46*ROUNDUP(C46,-2)),IF(G46=0,1000000,G46*ROUNDUP(C46,-1)),IF(F46=0,1000000,F46*C46)))</f>
        <v>8.5299999999999994</v>
      </c>
      <c r="K46" s="4">
        <f>IF(J46=IF(F46=0,1000000,F46*C46),C46,IF(J46=IF(G46=0,1000000,G46*ROUNDUP(C46,-1)),ROUNDUP(C46,-1),IF(J46=IF(H46=0,1000000,H46*ROUNDUP(C46,-2)),ROUNDUP(C46,-2),IF(J46=IF(I46=0,1000000,I46*ROUNDUP(C46,-3)),ROUNDUP(C46,-3),0))))</f>
        <v>1</v>
      </c>
      <c r="L46" s="4" t="s">
        <v>190</v>
      </c>
      <c r="M46" s="4"/>
      <c r="N46" s="4"/>
      <c r="AA46" s="4"/>
      <c r="AB46" s="4"/>
      <c r="AC46" s="4"/>
      <c r="AD46" s="4"/>
      <c r="AE46" s="7"/>
      <c r="AF46" s="4"/>
      <c r="AG46" s="4"/>
      <c r="AH46" s="4"/>
      <c r="AI46" s="4"/>
      <c r="AJ46" s="8"/>
      <c r="AK46" s="4"/>
      <c r="AL46" s="4"/>
      <c r="AM46" s="4"/>
      <c r="AN46" s="4"/>
    </row>
    <row r="47">
      <c r="A47" s="3" t="s">
        <v>191</v>
      </c>
      <c r="B47" s="3">
        <v>1</v>
      </c>
      <c r="C47" s="3">
        <f>B47*$C$1</f>
        <v>1</v>
      </c>
      <c r="D47" s="3" t="s">
        <v>192</v>
      </c>
      <c r="E47" s="24" t="s">
        <v>193</v>
      </c>
      <c r="F47" s="4">
        <v>0.56999999999999995</v>
      </c>
      <c r="G47" s="4">
        <v>0.39900000000000002</v>
      </c>
      <c r="H47" s="4">
        <v>0.31109999999999999</v>
      </c>
      <c r="I47" s="4">
        <v>0.26484999999999997</v>
      </c>
      <c r="J47" s="8">
        <f>IF(MIN(IF(I47=0,1000000,I47*ROUNDUP(C47,-3)),IF(H47=0,1000000,H47*ROUNDUP(C47,-2)),IF(G47=0,1000000,G47*ROUNDUP(C47,-1)),IF(F47=0,1000000,F47*C47))=1000000,0,MIN(IF(I47=0,1000000,I47*ROUNDUP(C47,-3)),IF(H47=0,1000000,H47*ROUNDUP(C47,-2)),IF(G47=0,1000000,G47*ROUNDUP(C47,-1)),IF(F47=0,1000000,F47*C47)))</f>
        <v>0.56999999999999995</v>
      </c>
      <c r="K47" s="4">
        <f>IF(J47=IF(F47=0,1000000,F47*C47),C47,IF(J47=IF(G47=0,1000000,G47*ROUNDUP(C47,-1)),ROUNDUP(C47,-1),IF(J47=IF(H47=0,1000000,H47*ROUNDUP(C47,-2)),ROUNDUP(C47,-2),IF(J47=IF(I47=0,1000000,I47*ROUNDUP(C47,-3)),ROUNDUP(C47,-3),0))))</f>
        <v>1</v>
      </c>
      <c r="L47" s="4" t="s">
        <v>194</v>
      </c>
      <c r="M47" s="4"/>
      <c r="N47" s="4"/>
      <c r="AA47" s="4"/>
      <c r="AB47" s="4"/>
      <c r="AC47" s="4"/>
      <c r="AD47" s="4"/>
      <c r="AE47" s="7"/>
      <c r="AF47" s="4"/>
      <c r="AG47" s="4"/>
      <c r="AH47" s="4"/>
      <c r="AI47" s="4"/>
      <c r="AJ47" s="8"/>
      <c r="AK47" s="4"/>
      <c r="AL47" s="4"/>
      <c r="AM47" s="4"/>
      <c r="AN47" s="4"/>
    </row>
    <row r="48">
      <c r="A48" s="3" t="s">
        <v>195</v>
      </c>
      <c r="B48" s="3">
        <v>1</v>
      </c>
      <c r="C48" s="3">
        <f>B48*$C$1</f>
        <v>1</v>
      </c>
      <c r="D48" s="3" t="s">
        <v>196</v>
      </c>
      <c r="E48" s="7" t="s">
        <v>197</v>
      </c>
      <c r="F48" s="3">
        <v>0.23000000000000001</v>
      </c>
      <c r="G48" s="3">
        <v>0.20000000000000001</v>
      </c>
      <c r="H48" s="3">
        <v>0.1739</v>
      </c>
      <c r="I48" s="3">
        <v>0.15112999999999999</v>
      </c>
      <c r="J48" s="8">
        <f>IF(MIN(IF(I48=0,1000000,I48*ROUNDUP(C48,-3)),IF(H48=0,1000000,H48*ROUNDUP(C48,-2)),IF(G48=0,1000000,G48*ROUNDUP(C48,-1)),IF(F48=0,1000000,F48*C48))=1000000,0,MIN(IF(I48=0,1000000,I48*ROUNDUP(C48,-3)),IF(H48=0,1000000,H48*ROUNDUP(C48,-2)),IF(G48=0,1000000,G48*ROUNDUP(C48,-1)),IF(F48=0,1000000,F48*C48)))</f>
        <v>0.23000000000000001</v>
      </c>
      <c r="K48" s="4">
        <f>IF(J48=IF(F48=0,1000000,F48*C48),C48,IF(J48=IF(G48=0,1000000,G48*ROUNDUP(C48,-1)),ROUNDUP(C48,-1),IF(J48=IF(H48=0,1000000,H48*ROUNDUP(C48,-2)),ROUNDUP(C48,-2),IF(J48=IF(I48=0,1000000,I48*ROUNDUP(C48,-3)),ROUNDUP(C48,-3),0))))</f>
        <v>1</v>
      </c>
      <c r="L48" s="3" t="s">
        <v>198</v>
      </c>
      <c r="M48" s="4"/>
      <c r="N48" s="4"/>
      <c r="AA48" s="4"/>
      <c r="AB48" s="4"/>
      <c r="AC48" s="4"/>
      <c r="AD48" s="30"/>
      <c r="AE48" s="4"/>
      <c r="AF48" s="4"/>
      <c r="AG48" s="4"/>
      <c r="AH48" s="4"/>
      <c r="AI48" s="4"/>
      <c r="AJ48" s="8"/>
      <c r="AK48" s="4"/>
      <c r="AL48" s="4"/>
      <c r="AM48" s="4"/>
      <c r="AN48" s="4"/>
    </row>
    <row r="49">
      <c r="A49" s="3" t="s">
        <v>199</v>
      </c>
      <c r="B49" s="3">
        <v>1</v>
      </c>
      <c r="C49" s="3">
        <f>B49*$C$1</f>
        <v>1</v>
      </c>
      <c r="D49" s="3" t="s">
        <v>200</v>
      </c>
      <c r="E49" s="24" t="s">
        <v>201</v>
      </c>
      <c r="F49" s="4">
        <v>0.52000000000000002</v>
      </c>
      <c r="G49" s="4">
        <v>0.45500000000000002</v>
      </c>
      <c r="H49" s="4">
        <v>0.39579999999999999</v>
      </c>
      <c r="I49" s="4">
        <v>0.34394000000000002</v>
      </c>
      <c r="J49" s="8">
        <f>IF(MIN(IF(I49=0,1000000,I49*ROUNDUP(C49,-3)),IF(H49=0,1000000,H49*ROUNDUP(C49,-2)),IF(G49=0,1000000,G49*ROUNDUP(C49,-1)),IF(F49=0,1000000,F49*C49))=1000000,0,MIN(IF(I49=0,1000000,I49*ROUNDUP(C49,-3)),IF(H49=0,1000000,H49*ROUNDUP(C49,-2)),IF(G49=0,1000000,G49*ROUNDUP(C49,-1)),IF(F49=0,1000000,F49*C49)))</f>
        <v>0.52000000000000002</v>
      </c>
      <c r="K49" s="4">
        <f>IF(J49=IF(F49=0,1000000,F49*C49),C49,IF(J49=IF(G49=0,1000000,G49*ROUNDUP(C49,-1)),ROUNDUP(C49,-1),IF(J49=IF(H49=0,1000000,H49*ROUNDUP(C49,-2)),ROUNDUP(C49,-2),IF(J49=IF(I49=0,1000000,I49*ROUNDUP(C49,-3)),ROUNDUP(C49,-3),0))))</f>
        <v>1</v>
      </c>
      <c r="L49" s="4" t="s">
        <v>202</v>
      </c>
      <c r="M49" s="4"/>
      <c r="N49" s="4"/>
      <c r="AA49" s="4"/>
      <c r="AB49" s="4"/>
      <c r="AC49" s="4"/>
      <c r="AD49" s="4"/>
      <c r="AE49" s="7"/>
      <c r="AF49" s="4"/>
      <c r="AG49" s="4"/>
      <c r="AH49" s="4"/>
      <c r="AI49" s="4"/>
      <c r="AJ49" s="8"/>
      <c r="AK49" s="4"/>
      <c r="AL49" s="4"/>
      <c r="AM49" s="4"/>
      <c r="AN49" s="4"/>
    </row>
    <row r="50">
      <c r="A50" s="4" t="s">
        <v>203</v>
      </c>
      <c r="B50" s="4">
        <v>1</v>
      </c>
      <c r="C50" s="3">
        <f>B50*$C$1</f>
        <v>1</v>
      </c>
      <c r="D50" s="31"/>
      <c r="E50" s="4" t="s">
        <v>204</v>
      </c>
      <c r="F50" s="4">
        <f>41.85/3</f>
        <v>13.950000000000001</v>
      </c>
      <c r="G50" s="4"/>
      <c r="H50" s="4"/>
      <c r="I50" s="4"/>
      <c r="J50" s="8">
        <f>IF(MIN(IF(I50=0,1000000,I50*ROUNDUP(C50,-3)),IF(H50=0,1000000,H50*ROUNDUP(C50,-2)),IF(G50=0,1000000,G50*ROUNDUP(C50,-1)),IF(F50=0,1000000,F50*C50))=1000000,0,MIN(IF(I50=0,1000000,I50*ROUNDUP(C50,-3)),IF(H50=0,1000000,H50*ROUNDUP(C50,-2)),IF(G50=0,1000000,G50*ROUNDUP(C50,-1)),IF(F50=0,1000000,F50*C50)))</f>
        <v>13.950000000000001</v>
      </c>
      <c r="K50" s="4">
        <f>IF(J50=IF(F50=0,1000000,F50*C50),C50,IF(J50=IF(G50=0,1000000,G50*ROUNDUP(C50,-1)),ROUNDUP(C50,-1),IF(J50=IF(H50=0,1000000,H50*ROUNDUP(C50,-2)),ROUNDUP(C50,-2),IF(J50=IF(I50=0,1000000,I50*ROUNDUP(C50,-3)),ROUNDUP(C50,-3),0))))</f>
        <v>1</v>
      </c>
      <c r="L50" s="4"/>
      <c r="M50" s="4"/>
      <c r="N50" s="4"/>
      <c r="AA50" s="4"/>
      <c r="AB50" s="4"/>
      <c r="AC50" s="4"/>
      <c r="AD50" s="4"/>
      <c r="AE50" s="4"/>
      <c r="AF50" s="4"/>
      <c r="AG50" s="4"/>
      <c r="AH50" s="4"/>
      <c r="AI50" s="4"/>
      <c r="AJ50" s="8"/>
      <c r="AK50" s="4"/>
      <c r="AL50" s="4"/>
      <c r="AM50" s="4"/>
      <c r="AN50" s="4"/>
    </row>
    <row r="51">
      <c r="A51" s="4"/>
      <c r="B51" s="4"/>
      <c r="C51" s="4"/>
      <c r="D51" s="32"/>
      <c r="E51" s="4"/>
      <c r="F51" s="4"/>
      <c r="G51" s="4"/>
      <c r="H51" s="4"/>
      <c r="I51" s="4"/>
      <c r="J51" s="4"/>
      <c r="K51" s="4"/>
      <c r="L51" s="4"/>
      <c r="M51" s="4"/>
      <c r="N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>
      <c r="A52" s="4"/>
      <c r="B52" s="4"/>
      <c r="C52" s="4"/>
      <c r="D52" s="31"/>
      <c r="E52" s="4"/>
      <c r="F52" s="4"/>
      <c r="G52" s="4"/>
      <c r="H52" s="4"/>
      <c r="I52" s="4"/>
      <c r="J52" s="8"/>
      <c r="K52" s="4"/>
      <c r="L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>
      <c r="A53" s="4"/>
      <c r="B53" s="4"/>
      <c r="C53" s="4"/>
      <c r="D53" s="31"/>
      <c r="E53" s="4"/>
      <c r="F53" s="4"/>
      <c r="G53" s="4"/>
      <c r="H53" s="4"/>
      <c r="I53" s="4"/>
      <c r="J53" s="8"/>
      <c r="K53" s="4"/>
      <c r="L53" s="4"/>
      <c r="AA53" s="4"/>
      <c r="AB53" s="4"/>
      <c r="AC53" s="4"/>
      <c r="AD53" s="4"/>
      <c r="AE53" s="4"/>
      <c r="AF53" s="4"/>
      <c r="AG53" s="4"/>
      <c r="AH53" s="5"/>
      <c r="AI53" s="5"/>
      <c r="AJ53" s="8"/>
      <c r="AK53" s="11"/>
      <c r="AL53" s="4"/>
      <c r="AM53" s="4"/>
      <c r="AN53" s="4"/>
    </row>
    <row r="54">
      <c r="A54" s="4"/>
      <c r="B54" s="4"/>
      <c r="C54" s="4"/>
      <c r="D54" s="31"/>
      <c r="E54" s="4"/>
      <c r="F54" s="4"/>
      <c r="G54" s="4"/>
      <c r="H54" s="4"/>
      <c r="I54" s="4"/>
      <c r="J54" s="8"/>
      <c r="K54" s="4"/>
      <c r="L54" s="4"/>
      <c r="AA54" s="4"/>
      <c r="AB54" s="4"/>
      <c r="AC54" s="4"/>
      <c r="AD54" s="4"/>
      <c r="AE54" s="4"/>
      <c r="AF54" s="4"/>
      <c r="AG54" s="4"/>
      <c r="AH54" s="5"/>
      <c r="AI54" s="5"/>
      <c r="AJ54" s="4"/>
      <c r="AK54" s="4"/>
      <c r="AL54" s="4"/>
      <c r="AM54" s="4"/>
      <c r="AN54" s="4"/>
    </row>
    <row r="55">
      <c r="A55" s="4"/>
      <c r="B55" s="4"/>
      <c r="D55" s="33"/>
      <c r="AA55" s="4"/>
      <c r="AB55" s="4"/>
      <c r="AC55" s="4"/>
      <c r="AD55" s="30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>
      <c r="A56" s="4"/>
      <c r="B56" s="4"/>
      <c r="D56" s="31"/>
      <c r="AA56" s="4"/>
      <c r="AB56" s="4"/>
      <c r="AC56" s="4"/>
      <c r="AD56" s="4"/>
      <c r="AE56" s="4"/>
      <c r="AF56" s="4"/>
      <c r="AG56" s="4"/>
      <c r="AH56" s="5"/>
      <c r="AI56" s="5"/>
      <c r="AJ56" s="8"/>
      <c r="AK56" s="4"/>
      <c r="AL56" s="4"/>
      <c r="AM56" s="4"/>
      <c r="AN56" s="4"/>
    </row>
    <row r="57">
      <c r="AA57" s="4"/>
      <c r="AB57" s="4"/>
      <c r="AC57" s="4"/>
      <c r="AD57" s="4"/>
      <c r="AE57" s="4"/>
      <c r="AF57" s="4"/>
      <c r="AG57" s="4"/>
      <c r="AH57" s="5"/>
      <c r="AI57" s="5"/>
      <c r="AJ57" s="4"/>
      <c r="AK57" s="4"/>
      <c r="AL57" s="4"/>
      <c r="AM57" s="4"/>
      <c r="AN57" s="4"/>
    </row>
    <row r="58"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ht="14.25"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ht="14.25"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ht="14.25"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ht="14.25"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ht="14.25"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</sheetData>
  <mergeCells count="12">
    <mergeCell ref="A1:B1"/>
    <mergeCell ref="AA1:AB1"/>
    <mergeCell ref="Q6:R6"/>
    <mergeCell ref="Q7:R7"/>
    <mergeCell ref="Q9:R9"/>
    <mergeCell ref="Q10:R10"/>
    <mergeCell ref="Q12:R12"/>
    <mergeCell ref="Q13:R13"/>
    <mergeCell ref="AH53:AI53"/>
    <mergeCell ref="AH54:AI54"/>
    <mergeCell ref="AH56:AI56"/>
    <mergeCell ref="AH57:AI57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2026-07-11T16:16:44Z</dcterms:modified>
</cp:coreProperties>
</file>